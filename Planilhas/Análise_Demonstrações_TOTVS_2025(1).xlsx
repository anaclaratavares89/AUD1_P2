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1581723A-9ABC-438F-AB27-1C269460F427}" xr6:coauthVersionLast="47" xr6:coauthVersionMax="47" xr10:uidLastSave="{00000000-0000-0000-0000-000000000000}"/>
  <bookViews>
    <workbookView xWindow="0" yWindow="0" windowWidth="0" windowHeight="0" firstSheet="9" xr2:uid="{00000000-000D-0000-FFFF-FFFF00000000}"/>
  </bookViews>
  <sheets>
    <sheet name="BP_Ativo" sheetId="1" r:id="rId1"/>
    <sheet name="BP_Passivo" sheetId="2" r:id="rId2"/>
    <sheet name="DRE" sheetId="3" r:id="rId3"/>
    <sheet name="DRA" sheetId="4" r:id="rId4"/>
    <sheet name="DFC" sheetId="5" r:id="rId5"/>
    <sheet name="DMPL_2025" sheetId="6" r:id="rId6"/>
    <sheet name="DMPL_2024" sheetId="7" r:id="rId7"/>
    <sheet name="Ranking_Ativos" sheetId="8" r:id="rId8"/>
    <sheet name="Indicadores" sheetId="9" r:id="rId9"/>
    <sheet name="Materialidade" sheetId="10" r:id="rId10"/>
    <sheet name="Fontes_Notas" sheetId="11" r:id="rId1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B10" i="10"/>
  <c r="B7" i="10"/>
  <c r="B6" i="10"/>
  <c r="B5" i="10"/>
  <c r="D10" i="9"/>
  <c r="C10" i="9"/>
  <c r="D9" i="9"/>
  <c r="C9" i="9"/>
  <c r="D8" i="9"/>
  <c r="C8" i="9"/>
  <c r="D7" i="9"/>
  <c r="C7" i="9"/>
  <c r="D6" i="9"/>
  <c r="C6" i="9"/>
  <c r="D5" i="9"/>
  <c r="C5" i="9"/>
  <c r="E12" i="8"/>
  <c r="C12" i="8"/>
  <c r="D12" i="8" s="1"/>
  <c r="E11" i="8"/>
  <c r="C11" i="8"/>
  <c r="D11" i="8" s="1"/>
  <c r="E10" i="8"/>
  <c r="C10" i="8"/>
  <c r="D10" i="8" s="1"/>
  <c r="E9" i="8"/>
  <c r="C9" i="8"/>
  <c r="D9" i="8" s="1"/>
  <c r="E8" i="8"/>
  <c r="C8" i="8"/>
  <c r="D8" i="8" s="1"/>
  <c r="E7" i="8"/>
  <c r="C7" i="8"/>
  <c r="D7" i="8" s="1"/>
  <c r="E6" i="8"/>
  <c r="C6" i="8"/>
  <c r="D6" i="8" s="1"/>
  <c r="E5" i="8"/>
  <c r="C5" i="8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C13" i="8" l="1"/>
  <c r="D5" i="8"/>
  <c r="D13" i="8" s="1"/>
  <c r="F5" i="8"/>
  <c r="F6" i="8"/>
  <c r="F7" i="8"/>
  <c r="F8" i="8"/>
  <c r="F9" i="8"/>
  <c r="F10" i="8"/>
  <c r="F11" i="8"/>
  <c r="F12" i="8"/>
  <c r="B14" i="10"/>
  <c r="B12" i="10"/>
</calcChain>
</file>

<file path=xl/sharedStrings.xml><?xml version="1.0" encoding="utf-8"?>
<sst xmlns="http://schemas.openxmlformats.org/spreadsheetml/2006/main" count="548" uniqueCount="438">
  <si>
    <t>BP Ativo | TOTVS consolidado</t>
  </si>
  <si>
    <t>DFP TOTVS S.A. 31/12/2025, versão 1, consolidado (R$ mil)</t>
  </si>
  <si>
    <t>Código CVM</t>
  </si>
  <si>
    <t>Descrição da conta</t>
  </si>
  <si>
    <t>2025 (R$ mil)</t>
  </si>
  <si>
    <t>2024 (R$ mil)</t>
  </si>
  <si>
    <t>Variação R$ mil</t>
  </si>
  <si>
    <t>Variação %</t>
  </si>
  <si>
    <t>1</t>
  </si>
  <si>
    <t>Ativo Total</t>
  </si>
  <si>
    <t>1.01</t>
  </si>
  <si>
    <t>Ativo Circulante</t>
  </si>
  <si>
    <t>1.01.01</t>
  </si>
  <si>
    <t>Caixa e Equivalentes de Caixa</t>
  </si>
  <si>
    <t>1.01.03</t>
  </si>
  <si>
    <t>Contas a Receber</t>
  </si>
  <si>
    <t>1.01.03.01</t>
  </si>
  <si>
    <t>Clientes</t>
  </si>
  <si>
    <t>1.01.06</t>
  </si>
  <si>
    <t>Tributos a Recuperar</t>
  </si>
  <si>
    <t>1.01.06.01</t>
  </si>
  <si>
    <t>Tributos Correntes a Recuperar</t>
  </si>
  <si>
    <t>1.01.08</t>
  </si>
  <si>
    <t>Outros Ativos Circulantes</t>
  </si>
  <si>
    <t>1.01.08.01</t>
  </si>
  <si>
    <t>Ativos Não-Correntes a Venda</t>
  </si>
  <si>
    <t>1.01.08.03</t>
  </si>
  <si>
    <t>Outros</t>
  </si>
  <si>
    <t>1.02</t>
  </si>
  <si>
    <t>Ativo Não Circulante</t>
  </si>
  <si>
    <t>1.02.01</t>
  </si>
  <si>
    <t>Ativo Realizável a Longo Prazo</t>
  </si>
  <si>
    <t>1.02.01.04</t>
  </si>
  <si>
    <t>1.02.01.07</t>
  </si>
  <si>
    <t>Tributos Diferidos</t>
  </si>
  <si>
    <t>1.02.01.09</t>
  </si>
  <si>
    <t>Créditos com Partes Relacionadas</t>
  </si>
  <si>
    <t>1.02.01.10</t>
  </si>
  <si>
    <t>Outros Ativos Não Circulantes</t>
  </si>
  <si>
    <t>1.02.02</t>
  </si>
  <si>
    <t>Investimentos</t>
  </si>
  <si>
    <t>1.02.02.01</t>
  </si>
  <si>
    <t>Participações Societárias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</si>
  <si>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</si>
  <si>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</si>
  <si>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</si>
  <si>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</si>
  <si>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</si>
  <si>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</si>
  <si>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1.02.04</t>
  </si>
  <si>
    <t>Intangível</t>
  </si>
  <si>
    <t>1.02.04.01</t>
  </si>
  <si>
    <t>Intangíveis</t>
  </si>
  <si>
    <t>1.02.04.02</t>
  </si>
  <si>
    <t>Goodwill</t>
  </si>
  <si>
    <t>BP Passivo | TOTVS consolidado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</si>
  <si>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</si>
  <si>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</si>
  <si>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</si>
  <si>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</si>
  <si>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</si>
  <si>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</si>
  <si>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</si>
  <si>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</si>
  <si>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</si>
  <si>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</si>
  <si>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</si>
  <si>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</si>
  <si>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</si>
  <si>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</si>
  <si>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2.01.02.02</t>
  </si>
  <si>
    <t>Fornecedores Estrangeiros</t>
  </si>
  <si>
    <t>2.01.03</t>
  </si>
  <si>
    <t>Obrigações Fiscais</t>
  </si>
  <si>
    <t>2.01.03.01</t>
  </si>
  <si>
    <t>Obrigações Fiscais Federais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</si>
  <si>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</si>
  <si>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</si>
  <si>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</si>
  <si>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</si>
  <si>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</si>
  <si>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</si>
  <si>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</si>
  <si>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</si>
  <si>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</si>
  <si>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</si>
  <si>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</si>
  <si>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</si>
  <si>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</si>
  <si>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2.01.05.02</t>
  </si>
  <si>
    <t>2.01.07</t>
  </si>
  <si>
    <t>Passivos sobre Ativos Não-Correntes a Venda e Descontinuados</t>
  </si>
  <si>
    <t>2.01.07.01</t>
  </si>
  <si>
    <t>Passivos sobre Ativos Não-Correntes a Venda</t>
  </si>
  <si>
    <t>2.02</t>
  </si>
  <si>
    <t>Passivo Não Circulante</t>
  </si>
  <si>
    <t>2.02.01</t>
  </si>
  <si>
    <t>2.02.01.02</t>
  </si>
  <si>
    <t>2.02.01.03</t>
  </si>
  <si>
    <t>2.02.02</t>
  </si>
  <si>
    <t>2.02.02.02</t>
  </si>
  <si>
    <t>2.02.04</t>
  </si>
  <si>
    <t>Provisões</t>
  </si>
  <si>
    <t>2.02.04.01</t>
  </si>
  <si>
    <t>Provisões Fiscais Previdenciárias Trabalhistas e Cíveis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</si>
  <si>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</si>
  <si>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</si>
  <si>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</si>
  <si>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</si>
  <si>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</si>
  <si>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</si>
  <si>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</si>
  <si>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</si>
  <si>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2.03.02.05</t>
  </si>
  <si>
    <t>Ações em Tesouraria</t>
  </si>
  <si>
    <t>2.03.02.07</t>
  </si>
  <si>
    <t>Reserva de Ágio</t>
  </si>
  <si>
    <t>2.03.02.08</t>
  </si>
  <si>
    <t>Debêntures Convertidas em Ações</t>
  </si>
  <si>
    <t>2.03.02.09</t>
  </si>
  <si>
    <t>Prêmio na Compra de Participação de Não Controladores</t>
  </si>
  <si>
    <t>2.03.02.10</t>
  </si>
  <si>
    <t>Plano de Remuneração Baseado em Ações</t>
  </si>
  <si>
    <t>2.03.02.11</t>
  </si>
  <si>
    <t>Diluição de participação societária</t>
  </si>
  <si>
    <t>2.03.02.12</t>
  </si>
  <si>
    <t>Opção de compra de participação de não controladores</t>
  </si>
  <si>
    <t>2.03.04</t>
  </si>
  <si>
    <t>Reservas de Lucros</t>
  </si>
  <si>
    <t>2.03.04.01</t>
  </si>
  <si>
    <t>Reserva Legal</t>
  </si>
  <si>
    <t>2.03.04.05</t>
  </si>
  <si>
    <t>Reserva de Retenção de Lucros</t>
  </si>
  <si>
    <t>2.03.06</t>
  </si>
  <si>
    <t>Ajustes de Avaliação Patrimonial</t>
  </si>
  <si>
    <t>2.03.09</t>
  </si>
  <si>
    <t>Participação dos Acionistas Não Controladores</t>
  </si>
  <si>
    <t>DRE | TOTVS consolidado</t>
  </si>
  <si>
    <t>3.01</t>
  </si>
  <si>
    <t>Receita de Venda de Bens e/ou Serviços</t>
  </si>
  <si>
    <t>3.01.01</t>
  </si>
  <si>
    <t>Softwares</t>
  </si>
  <si>
    <t>3.02</t>
  </si>
  <si>
    <t>Custo dos Bens e/ou Serviços Vendidos</t>
  </si>
  <si>
    <t>3.02.01</t>
  </si>
  <si>
    <t>Custo de Softwares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</si>
  <si>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</si>
  <si>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</si>
  <si>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</si>
  <si>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</si>
  <si>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</si>
  <si>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</si>
  <si>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</si>
  <si>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</si>
  <si>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3.04.05</t>
  </si>
  <si>
    <t>Outras Despesas Operacionais</t>
  </si>
  <si>
    <t>3.04.05.01</t>
  </si>
  <si>
    <t>Pesquisa e Desenvolvimento</t>
  </si>
  <si>
    <t>3.04.05.03</t>
  </si>
  <si>
    <t>Provisão para perda esperada</t>
  </si>
  <si>
    <t>3.04.05.04</t>
  </si>
  <si>
    <t>Outras Despesas/Receitas Op. Líq.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</si>
  <si>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</si>
  <si>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</si>
  <si>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</si>
  <si>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</si>
  <si>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</si>
  <si>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</si>
  <si>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</si>
  <si>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</si>
  <si>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3.06.02</t>
  </si>
  <si>
    <t>Despesas Financeiras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</si>
  <si>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</si>
  <si>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</si>
  <si>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</si>
  <si>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</si>
  <si>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</si>
  <si>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</si>
  <si>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</si>
  <si>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</si>
  <si>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</si>
  <si>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</si>
  <si>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</si>
  <si>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</si>
  <si>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</si>
  <si>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</si>
  <si>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3.10.01.01</t>
  </si>
  <si>
    <t>Lucro/Prejuízo Líquido da Dimensão de Techfin</t>
  </si>
  <si>
    <t>3.10.01.02</t>
  </si>
  <si>
    <t>Lucro/Prejuízo Líquido da Operação Descontinuada RJ Participações</t>
  </si>
  <si>
    <t>3.10.01.03</t>
  </si>
  <si>
    <t>Lucro/Prejuízo Líquido da Operação Descontinuada Dimensa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</si>
  <si>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</si>
  <si>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</si>
  <si>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</si>
  <si>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</si>
  <si>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</si>
  <si>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</si>
  <si>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DRA | TOTVS consolidado</t>
  </si>
  <si>
    <t>4.01</t>
  </si>
  <si>
    <t>Lucro Líquido Consolidado do Período</t>
  </si>
  <si>
    <t>4.02</t>
  </si>
  <si>
    <t>Outros Resultados Abrangentes</t>
  </si>
  <si>
    <t>4.02.01</t>
  </si>
  <si>
    <t>Ajuste acumulado de conversão de moeda estrangeira</t>
  </si>
  <si>
    <t>4.02.02</t>
  </si>
  <si>
    <t>(Perda) Ganho atuarial</t>
  </si>
  <si>
    <t>4.03</t>
  </si>
  <si>
    <t>Resultado Abrangente Consolidado do Período</t>
  </si>
  <si>
    <t>4.03.01</t>
  </si>
  <si>
    <t>4.03.02</t>
  </si>
  <si>
    <t>DFC | TOTVS consolidado</t>
  </si>
  <si>
    <t>6.01</t>
  </si>
  <si>
    <t>Caixa Líquido Atividades Operacionais</t>
  </si>
  <si>
    <t>6.01.01</t>
  </si>
  <si>
    <t>Caixa Gerado nas Operações</t>
  </si>
  <si>
    <t>6.01.01.01</t>
  </si>
  <si>
    <t>Lucro antes da tributação do imposto de renda e contribuição social</t>
  </si>
  <si>
    <t>6.01.01.02</t>
  </si>
  <si>
    <t>Depreciação e Amortização</t>
  </si>
  <si>
    <t>6.01.01.03</t>
  </si>
  <si>
    <t>Pagamento Baseado em Ações</t>
  </si>
  <si>
    <t>6.01.01.04</t>
  </si>
  <si>
    <t>Perda (Ganho) na baixa de Ativos</t>
  </si>
  <si>
    <t>6.01.01.05</t>
  </si>
  <si>
    <t>6.01.01.06</t>
  </si>
  <si>
    <t>Equivalência patrimonial</t>
  </si>
  <si>
    <t>6.01.01.07</t>
  </si>
  <si>
    <t>Provisão para contingências</t>
  </si>
  <si>
    <t>6.01.01.08</t>
  </si>
  <si>
    <t>(Reversão) Provisão de outras obrigações e outros</t>
  </si>
  <si>
    <t>6.01.01.10</t>
  </si>
  <si>
    <t>Juros e Variações Cambiais e Monetárias, Líquidos</t>
  </si>
  <si>
    <t>6.01.02</t>
  </si>
  <si>
    <t>Variações nos Ativos e Passivos</t>
  </si>
  <si>
    <t>6.01.02.01</t>
  </si>
  <si>
    <t>Contas a Receber de Clientes</t>
  </si>
  <si>
    <t>6.01.02.03</t>
  </si>
  <si>
    <t>Impostos a Recuperar</t>
  </si>
  <si>
    <t>6.01.02.04</t>
  </si>
  <si>
    <t>Depósitos Judiciais</t>
  </si>
  <si>
    <t>6.01.02.05</t>
  </si>
  <si>
    <t>Outros Ativos</t>
  </si>
  <si>
    <t>6.01.02.06</t>
  </si>
  <si>
    <t>6.01.02.07</t>
  </si>
  <si>
    <t>6.01.02.08</t>
  </si>
  <si>
    <t>Comissões a Pagar</t>
  </si>
  <si>
    <t>6.01.02.09</t>
  </si>
  <si>
    <t>Impostos a Pagar</t>
  </si>
  <si>
    <t>6.01.02.10</t>
  </si>
  <si>
    <t>Outras Contas a Pagar</t>
  </si>
  <si>
    <t>6.01.03</t>
  </si>
  <si>
    <t>6.01.03.01</t>
  </si>
  <si>
    <t>Juros Pagos</t>
  </si>
  <si>
    <t>6.01.03.02</t>
  </si>
  <si>
    <t>Impostos de Renda e Contribuição Social Pagos</t>
  </si>
  <si>
    <t>6.02</t>
  </si>
  <si>
    <t>Caixa Líquido Atividades de Investimento</t>
  </si>
  <si>
    <t>6.02.02</t>
  </si>
  <si>
    <t>Dividendos Recebidos</t>
  </si>
  <si>
    <t>6.02.03</t>
  </si>
  <si>
    <t>Aquisição de Ativo Imobilizado</t>
  </si>
  <si>
    <t>6.02.04</t>
  </si>
  <si>
    <t>Aquisição de Intangíveis</t>
  </si>
  <si>
    <t>6.02.06</t>
  </si>
  <si>
    <t>Mutuo com franquia</t>
  </si>
  <si>
    <t>6.02.07</t>
  </si>
  <si>
    <t>Aquisição de Controladas / Coligadas Líquido de Caixa</t>
  </si>
  <si>
    <t>6.02.09</t>
  </si>
  <si>
    <t>Pagamento de obrigações por aquisição de investimentos</t>
  </si>
  <si>
    <t>6.02.10</t>
  </si>
  <si>
    <t>Valor recebido na venda de investimentos</t>
  </si>
  <si>
    <t>6.02.11</t>
  </si>
  <si>
    <t>Valor da Venda de Ativos Imobilizados</t>
  </si>
  <si>
    <t>6.02.12</t>
  </si>
  <si>
    <t>Investimento em fundo CVC</t>
  </si>
  <si>
    <t>6.02.15</t>
  </si>
  <si>
    <t>Caixa proveniente (utilizado na) da Dimensão Techfin</t>
  </si>
  <si>
    <t>6.02.17</t>
  </si>
  <si>
    <t>Caixa proveniente/ (utilizado) da RJ Participações e Dimensa</t>
  </si>
  <si>
    <t>6.03</t>
  </si>
  <si>
    <t>Caixa Líquido Atividades de Financiamento</t>
  </si>
  <si>
    <t>6.03.01</t>
  </si>
  <si>
    <t>Pagamento de principal de empréstimos</t>
  </si>
  <si>
    <t>6.03.02</t>
  </si>
  <si>
    <t>Pagamento de principal e debêntures</t>
  </si>
  <si>
    <t>6.03.03</t>
  </si>
  <si>
    <t>Pagamento das parcelas de arrendamento mercantil</t>
  </si>
  <si>
    <t>6.03.08</t>
  </si>
  <si>
    <t>Dividendos e JSCP Pagos</t>
  </si>
  <si>
    <t>6.03.11</t>
  </si>
  <si>
    <t>Captação de debêntures, empréstimos</t>
  </si>
  <si>
    <t>6.03.12</t>
  </si>
  <si>
    <t>Recompra de ações</t>
  </si>
  <si>
    <t>6.03.13</t>
  </si>
  <si>
    <t>Investimento de não controladores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</si>
  <si>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</si>
  <si>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</si>
  <si>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</si>
  <si>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</si>
  <si>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</si>
  <si>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</si>
  <si>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DMPL 2025 | TOTVS consolidado</t>
  </si>
  <si>
    <t>Movimentação</t>
  </si>
  <si>
    <t>Capital social</t>
  </si>
  <si>
    <t>Reserva de capital</t>
  </si>
  <si>
    <t>Reserva de lucros</t>
  </si>
  <si>
    <t>Lucros acumulados</t>
  </si>
  <si>
    <t>Outros abrangentes</t>
  </si>
  <si>
    <t>PL controladora</t>
  </si>
  <si>
    <t>Não controladores</t>
  </si>
  <si>
    <t>PL consolidado</t>
  </si>
  <si>
    <t>5.01</t>
  </si>
  <si>
    <t>Saldos Iniciais</t>
  </si>
  <si>
    <t>5.02</t>
  </si>
  <si>
    <t>Ajustes de Exercícios Anteriores</t>
  </si>
  <si>
    <t>5.03</t>
  </si>
  <si>
    <t>Saldos Iniciais Ajustados</t>
  </si>
  <si>
    <t>5.04</t>
  </si>
  <si>
    <t>Transações de Capital com os Sócios</t>
  </si>
  <si>
    <t>5.04.07</t>
  </si>
  <si>
    <t>Juros sobre Capital Próprio</t>
  </si>
  <si>
    <t>5.04.08</t>
  </si>
  <si>
    <t>Plano de outorga de ações</t>
  </si>
  <si>
    <t>5.04.14</t>
  </si>
  <si>
    <t>Reversão de dividendos e JSCP</t>
  </si>
  <si>
    <t>5.04.16</t>
  </si>
  <si>
    <t>Opção de compra de participação de não</t>
  </si>
  <si>
    <t>5.05</t>
  </si>
  <si>
    <t>Resultado Abrangente Total</t>
  </si>
  <si>
    <t>5.05.01</t>
  </si>
  <si>
    <t>Lucro Líquido do Período</t>
  </si>
  <si>
    <t>5.05.02</t>
  </si>
  <si>
    <t>5.05.02.04</t>
  </si>
  <si>
    <t>Ajustes de Conversão do Período</t>
  </si>
  <si>
    <t>5.05.02.06</t>
  </si>
  <si>
    <t>Ganho (Perda) Atuarial</t>
  </si>
  <si>
    <t>5.06</t>
  </si>
  <si>
    <t>Mutações Internas do Patrimônio Líquido</t>
  </si>
  <si>
    <t>5.06.01</t>
  </si>
  <si>
    <t>Constituição de Reservas</t>
  </si>
  <si>
    <t>5.07</t>
  </si>
  <si>
    <t>Saldos Finais</t>
  </si>
  <si>
    <t>DMPL 2024 | TOTVS consolidado</t>
  </si>
  <si>
    <t>5.04.04</t>
  </si>
  <si>
    <t>Ações em Tesouraria Adquiridas</t>
  </si>
  <si>
    <t>5.04.13</t>
  </si>
  <si>
    <t>Participação de não controladores</t>
  </si>
  <si>
    <t>Ranking do ativo | Seleção para base simulada</t>
  </si>
  <si>
    <t>Rubrica de ativo</t>
  </si>
  <si>
    <t>Saldo 2025 (R$ mil)</t>
  </si>
  <si>
    <t>% do ativo</t>
  </si>
  <si>
    <t>Saldo 2024 (R$ mil)</t>
  </si>
  <si>
    <t>Caixa e equivalentes</t>
  </si>
  <si>
    <t>Contas a receber – circulante</t>
  </si>
  <si>
    <t>Tributos a recuperar</t>
  </si>
  <si>
    <t>Outros ativos circulantes</t>
  </si>
  <si>
    <t>Realizável a longo prazo</t>
  </si>
  <si>
    <t>Intangível (inclui goodwill)</t>
  </si>
  <si>
    <t>CONFERÊNCIA</t>
  </si>
  <si>
    <t>Soma das rubricas / total ativo</t>
  </si>
  <si>
    <t>CANDIDATA À BASE</t>
  </si>
  <si>
    <t>Intangível: R$ 3.904.253 mil</t>
  </si>
  <si>
    <t>COMPOSIÇÃO</t>
  </si>
  <si>
    <t>Goodwill R$ 3.167.139 mil + demais intangíveis R$ 737.114 mil</t>
  </si>
  <si>
    <t>Indicadores financeiros | Análise inicial</t>
  </si>
  <si>
    <t>Indicador</t>
  </si>
  <si>
    <t>Cálculo</t>
  </si>
  <si>
    <t>2025</t>
  </si>
  <si>
    <t>2024</t>
  </si>
  <si>
    <t>Interpretação / referência</t>
  </si>
  <si>
    <t>Liquidez corrente</t>
  </si>
  <si>
    <t>Ativo circulante / Passivo circulante</t>
  </si>
  <si>
    <t>Cálculo a partir da DFP consolidada</t>
  </si>
  <si>
    <t>Endividamento (Passivo / Ativo)</t>
  </si>
  <si>
    <t>(PC + PNC) / Ativo total</t>
  </si>
  <si>
    <t>Margem líquida consolidada</t>
  </si>
  <si>
    <t>Lucro consolidado / Receita</t>
  </si>
  <si>
    <t>Margem operacional</t>
  </si>
  <si>
    <t>Resultado antes financeiro / Receita</t>
  </si>
  <si>
    <t>Caixa operacional / Receita</t>
  </si>
  <si>
    <t>Intangível / Ativo</t>
  </si>
  <si>
    <t>Intangível / Ativo total</t>
  </si>
  <si>
    <t>PT 320 | Modelo para definir materialidade (não validado)</t>
  </si>
  <si>
    <t>Parâmetro</t>
  </si>
  <si>
    <t>Valor / fórmula</t>
  </si>
  <si>
    <t>Observação</t>
  </si>
  <si>
    <t>Lucro antes dos tributos – 2025</t>
  </si>
  <si>
    <t>Potencial base; confirmar adequação no PT 320</t>
  </si>
  <si>
    <t>Receita líquida – 2025</t>
  </si>
  <si>
    <t>Base alternativa</t>
  </si>
  <si>
    <t>Ativo total – 2025</t>
  </si>
  <si>
    <t xml:space="preserve">Base escolhida </t>
  </si>
  <si>
    <t>Indique a base após justificar os usuários e riscos</t>
  </si>
  <si>
    <t xml:space="preserve">Percentual escolhido </t>
  </si>
  <si>
    <t>Insira o percentual tecnicamente justificado</t>
  </si>
  <si>
    <t xml:space="preserve">Materialidade global </t>
  </si>
  <si>
    <t>Produto da base pelo percentual</t>
  </si>
  <si>
    <t xml:space="preserve">Percentual para execução </t>
  </si>
  <si>
    <t>Justifique com risco e julgamento profissional</t>
  </si>
  <si>
    <t>Materialidade para execução</t>
  </si>
  <si>
    <t>Cálculo referencial</t>
  </si>
  <si>
    <t xml:space="preserve">Limite trivial </t>
  </si>
  <si>
    <t>Critério definido com justificativa</t>
  </si>
  <si>
    <t>Limite claramente trivial</t>
  </si>
  <si>
    <t>Fontes e regras | Rastreabilidade</t>
  </si>
  <si>
    <t>Campo</t>
  </si>
  <si>
    <t>Conteúdo</t>
  </si>
  <si>
    <t>Companhia</t>
  </si>
  <si>
    <t>TOTVS S.A. — TOTS3</t>
  </si>
  <si>
    <t>Data-base</t>
  </si>
  <si>
    <t>31/12/2025</t>
  </si>
  <si>
    <t>Base</t>
  </si>
  <si>
    <t xml:space="preserve">Demonstrações consolidadas; comparativo 2024 </t>
  </si>
  <si>
    <t>Unidade</t>
  </si>
  <si>
    <t>Milhares de reais (R$ mil); não converter silenciosamente em reais</t>
  </si>
  <si>
    <t>DFP</t>
  </si>
  <si>
    <t>Versão 1</t>
  </si>
  <si>
    <t>BP Ativo</t>
  </si>
  <si>
    <t>Páginas internas 1–2 (páginas 2–3 do PDF)</t>
  </si>
  <si>
    <t>BP Passivo</t>
  </si>
  <si>
    <t>Páginas internas 3–5 (páginas 4–6 do PDF)</t>
  </si>
  <si>
    <t>DRE</t>
  </si>
  <si>
    <t>Páginas internas 6–7 (páginas 7–8 do PDF)</t>
  </si>
  <si>
    <t>DRA</t>
  </si>
  <si>
    <t>Página interna 8 (página 9 do PDF)</t>
  </si>
  <si>
    <t>DFC</t>
  </si>
  <si>
    <t>Páginas internas 9–10 (páginas 10–11 do PDF)</t>
  </si>
  <si>
    <t>DMPL</t>
  </si>
  <si>
    <t>Páginas internas 11–12 (páginas 12–13 do PDF)</t>
  </si>
  <si>
    <t>Notas explicativas</t>
  </si>
  <si>
    <t>A partir da página interna 13</t>
  </si>
  <si>
    <t>Fonte oficial</t>
  </si>
  <si>
    <t>https://ri.totvs.com/servicos-aos-investidores/central-de-downloads/</t>
  </si>
  <si>
    <t>Limitação</t>
  </si>
  <si>
    <t>Sem acesso aos registros analíticos reais, à contabilidade ou à documentação interna.</t>
  </si>
  <si>
    <t>Próxima tarefa</t>
  </si>
  <si>
    <t>Analisar nota de intangível e definir unidades analíticas sintéticas válidas.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</si>
</sst>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–"/>
    <numFmt numFmtId="165" formatCode="0.0%;[Red]\(0.0%\);\–"/>
    <numFmt numFmtId="166" formatCode="0.00&quot;x&quot;"/>
  </numFmts>
  <fonts count="4">
    <font>
      <sz val="11"/>
      <name val="Carlito"/>
    </font>
    <font>
      <b/>
      <sz val="14"/>
      <color rgb="FFFFFFFF"/>
      <name val="Carlito"/>
    </font>
    <font>
      <sz val="10"/>
      <color rgb="FF193650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93650"/>
      </patternFill>
    </fill>
    <fill>
      <patternFill patternType="solid">
        <fgColor rgb="FFE8F2F6"/>
      </patternFill>
    </fill>
    <fill>
      <patternFill patternType="solid">
        <fgColor rgb="FF0F766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  <xf numFmtId="166" fontId="0" fillId="0" borderId="0" xfId="0" applyNumberFormat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0" borderId="0" xfId="0" applyNumberForma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4" topLeftCell="A5" activePane="bottomLeft" state="frozen"/>
      <selection pane="bottomLeft" activeCell="C5" sqref="C5"/>
    </sheetView>
  </sheetViews>
  <sheetFormatPr defaultRowHeight="14.25" customHeight="1"/>
  <cols>
    <col min="1" max="1" width="18" customWidth="1"/>
    <col min="2" max="2" width="58" customWidth="1"/>
    <col min="3" max="5" width="20" customWidth="1"/>
    <col min="6" max="6" width="17" customWidth="1"/>
  </cols>
  <sheetData>
    <row r="1" spans="1:6" ht="30" customHeight="1">
      <c r="A1" s="12" t="s">
        <v>0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 t="s">
        <v>8</v>
      </c>
      <c r="B5" s="1" t="s">
        <v>9</v>
      </c>
      <c r="C5" s="5">
        <v>9452171</v>
      </c>
      <c r="D5" s="5">
        <v>8531721</v>
      </c>
      <c r="E5" s="5">
        <f>C5-D5</f>
        <v>920450</v>
      </c>
      <c r="F5" s="6">
        <f>IF(D5=0,"",C5/D5-1)</f>
        <v>0.10788561885696923</v>
      </c>
    </row>
    <row r="6" spans="1:6">
      <c r="A6" s="1" t="s">
        <v>10</v>
      </c>
      <c r="B6" s="1" t="s">
        <v>11</v>
      </c>
      <c r="C6" s="5">
        <v>3875770</v>
      </c>
      <c r="D6" s="5">
        <v>2763558</v>
      </c>
      <c r="E6" s="5">
        <f>C6-D6</f>
        <v>1112212</v>
      </c>
      <c r="F6" s="6">
        <f>IF(D6=0,"",C6/D6-1)</f>
        <v>0.40245654334014347</v>
      </c>
    </row>
    <row r="7" spans="1:6">
      <c r="A7" t="s">
        <v>12</v>
      </c>
      <c r="B7" t="s">
        <v>13</v>
      </c>
      <c r="C7" s="3">
        <v>1785703</v>
      </c>
      <c r="D7" s="3">
        <v>1942162</v>
      </c>
      <c r="E7" s="3">
        <f>C7-D7</f>
        <v>-156459</v>
      </c>
      <c r="F7" s="4">
        <f>IF(D7=0,"",C7/D7-1)</f>
        <v>-8.0559191251811102E-2</v>
      </c>
    </row>
    <row r="8" spans="1:6">
      <c r="A8" t="s">
        <v>14</v>
      </c>
      <c r="B8" t="s">
        <v>15</v>
      </c>
      <c r="C8" s="3">
        <v>639136</v>
      </c>
      <c r="D8" s="3">
        <v>563328</v>
      </c>
      <c r="E8" s="3">
        <f>C8-D8</f>
        <v>75808</v>
      </c>
      <c r="F8" s="4">
        <f>IF(D8=0,"",C8/D8-1)</f>
        <v>0.13457168825266974</v>
      </c>
    </row>
    <row r="9" spans="1:6">
      <c r="A9" t="s">
        <v>16</v>
      </c>
      <c r="B9" t="s">
        <v>17</v>
      </c>
      <c r="C9" s="3">
        <v>639136</v>
      </c>
      <c r="D9" s="3">
        <v>563328</v>
      </c>
      <c r="E9" s="3">
        <f>C9-D9</f>
        <v>75808</v>
      </c>
      <c r="F9" s="4">
        <f>IF(D9=0,"",C9/D9-1)</f>
        <v>0.13457168825266974</v>
      </c>
    </row>
    <row r="10" spans="1:6">
      <c r="A10" t="s">
        <v>18</v>
      </c>
      <c r="B10" t="s">
        <v>19</v>
      </c>
      <c r="C10" s="3">
        <v>53840</v>
      </c>
      <c r="D10" s="3">
        <v>83519</v>
      </c>
      <c r="E10" s="3">
        <f>C10-D10</f>
        <v>-29679</v>
      </c>
      <c r="F10" s="4">
        <f>IF(D10=0,"",C10/D10-1)</f>
        <v>-0.35535626623881988</v>
      </c>
    </row>
    <row r="11" spans="1:6">
      <c r="A11" t="s">
        <v>20</v>
      </c>
      <c r="B11" t="s">
        <v>21</v>
      </c>
      <c r="C11" s="3">
        <v>53840</v>
      </c>
      <c r="D11" s="3">
        <v>83519</v>
      </c>
      <c r="E11" s="3">
        <f>C11-D11</f>
        <v>-29679</v>
      </c>
      <c r="F11" s="4">
        <f>IF(D11=0,"",C11/D11-1)</f>
        <v>-0.35535626623881988</v>
      </c>
    </row>
    <row r="12" spans="1:6">
      <c r="A12" t="s">
        <v>22</v>
      </c>
      <c r="B12" t="s">
        <v>23</v>
      </c>
      <c r="C12" s="3">
        <v>1397091</v>
      </c>
      <c r="D12" s="3">
        <v>174549</v>
      </c>
      <c r="E12" s="3">
        <f>C12-D12</f>
        <v>1222542</v>
      </c>
      <c r="F12" s="4">
        <f>IF(D12=0,"",C12/D12-1)</f>
        <v>7.0040046061564372</v>
      </c>
    </row>
    <row r="13" spans="1:6">
      <c r="A13" t="s">
        <v>24</v>
      </c>
      <c r="B13" t="s">
        <v>25</v>
      </c>
      <c r="C13" s="3">
        <v>1126110</v>
      </c>
      <c r="D13" s="3">
        <v>0</v>
      </c>
      <c r="E13" s="3">
        <f>C13-D13</f>
        <v>1126110</v>
      </c>
      <c r="F13" s="4" t="str">
        <f>IF(D13=0,"",C13/D13-1)</f>
        <v/>
      </c>
    </row>
    <row r="14" spans="1:6">
      <c r="A14" t="s">
        <v>26</v>
      </c>
      <c r="B14" t="s">
        <v>27</v>
      </c>
      <c r="C14" s="3">
        <v>270981</v>
      </c>
      <c r="D14" s="3">
        <v>174549</v>
      </c>
      <c r="E14" s="3">
        <f>C14-D14</f>
        <v>96432</v>
      </c>
      <c r="F14" s="4">
        <f>IF(D14=0,"",C14/D14-1)</f>
        <v>0.55246377807950786</v>
      </c>
    </row>
    <row r="15" spans="1:6">
      <c r="A15" s="1" t="s">
        <v>28</v>
      </c>
      <c r="B15" s="1" t="s">
        <v>29</v>
      </c>
      <c r="C15" s="5">
        <v>5576401</v>
      </c>
      <c r="D15" s="5">
        <v>5768163</v>
      </c>
      <c r="E15" s="5">
        <f>C15-D15</f>
        <v>-191762</v>
      </c>
      <c r="F15" s="6">
        <f>IF(D15=0,"",C15/D15-1)</f>
        <v>-3.3244899632690728E-2</v>
      </c>
    </row>
    <row r="16" spans="1:6">
      <c r="A16" t="s">
        <v>30</v>
      </c>
      <c r="B16" t="s">
        <v>31</v>
      </c>
      <c r="C16" s="3">
        <v>828204</v>
      </c>
      <c r="D16" s="3">
        <v>785927</v>
      </c>
      <c r="E16" s="3">
        <f>C16-D16</f>
        <v>42277</v>
      </c>
      <c r="F16" s="4">
        <f>IF(D16=0,"",C16/D16-1)</f>
        <v>5.3792527804745305E-2</v>
      </c>
    </row>
    <row r="17" spans="1:6">
      <c r="A17" t="s">
        <v>32</v>
      </c>
      <c r="B17" t="s">
        <v>15</v>
      </c>
      <c r="C17" s="3">
        <v>22784</v>
      </c>
      <c r="D17" s="3">
        <v>13796</v>
      </c>
      <c r="E17" s="3">
        <f>C17-D17</f>
        <v>8988</v>
      </c>
      <c r="F17" s="4">
        <f>IF(D17=0,"",C17/D17-1)</f>
        <v>0.65149318643084952</v>
      </c>
    </row>
    <row r="18" spans="1:6">
      <c r="A18" t="s">
        <v>33</v>
      </c>
      <c r="B18" t="s">
        <v>34</v>
      </c>
      <c r="C18" s="3">
        <v>243775</v>
      </c>
      <c r="D18" s="3">
        <v>253511</v>
      </c>
      <c r="E18" s="3">
        <f>C18-D18</f>
        <v>-9736</v>
      </c>
      <c r="F18" s="4">
        <f>IF(D18=0,"",C18/D18-1)</f>
        <v>-3.8404645163326201E-2</v>
      </c>
    </row>
    <row r="19" spans="1:6">
      <c r="A19" t="s">
        <v>35</v>
      </c>
      <c r="B19" t="s">
        <v>36</v>
      </c>
      <c r="C19" s="3">
        <v>6875</v>
      </c>
      <c r="D19" s="3">
        <v>5050</v>
      </c>
      <c r="E19" s="3">
        <f>C19-D19</f>
        <v>1825</v>
      </c>
      <c r="F19" s="4">
        <f>IF(D19=0,"",C19/D19-1)</f>
        <v>0.36138613861386149</v>
      </c>
    </row>
    <row r="20" spans="1:6">
      <c r="A20" t="s">
        <v>37</v>
      </c>
      <c r="B20" t="s">
        <v>38</v>
      </c>
      <c r="C20" s="3">
        <v>554770</v>
      </c>
      <c r="D20" s="3">
        <v>513570</v>
      </c>
      <c r="E20" s="3">
        <f>C20-D20</f>
        <v>41200</v>
      </c>
      <c r="F20" s="4">
        <f>IF(D20=0,"",C20/D20-1)</f>
        <v>8.0222754444379429E-2</v>
      </c>
    </row>
    <row r="21" spans="1:6">
      <c r="A21" t="s">
        <v>39</v>
      </c>
      <c r="B21" t="s">
        <v>40</v>
      </c>
      <c r="C21" s="3">
        <v>290754</v>
      </c>
      <c r="D21" s="3">
        <v>321796</v>
      </c>
      <c r="E21" s="3">
        <f>C21-D21</f>
        <v>-31042</v>
      </c>
      <c r="F21" s="4">
        <f>IF(D21=0,"",C21/D21-1)</f>
        <v>-9.6464841079441643E-2</v>
      </c>
    </row>
    <row r="22" spans="1:6">
      <c r="A22" t="s">
        <v>41</v>
      </c>
      <c r="B22" t="s">
        <v>42</v>
      </c>
      <c r="C22" s="3">
        <v>290754</v>
      </c>
      <c r="D22" s="3">
        <v>321796</v>
      </c>
      <c r="E22" s="3">
        <f>C22-D22</f>
        <v>-31042</v>
      </c>
      <c r="F22" s="4">
        <f>IF(D22=0,"",C22/D22-1)</f>
        <v>-9.6464841079441643E-2</v>
      </c>
    </row>
    <row r="23" spans="1:6">
      <c r="A23" t="s">
        <v>43</v>
      </c>
      <c r="B23" t="s">
        <v>44</v>
      </c>
      <c r="C23" s="3">
        <v>553190</v>
      </c>
      <c r="D23" s="3">
        <v>399215</v>
      </c>
      <c r="E23" s="3">
        <f>C23-D23</f>
        <v>153975</v>
      </c>
      <c r="F23" s="4">
        <f>IF(D23=0,"",C23/D23-1)</f>
        <v>0.38569442530967013</v>
      </c>
    </row>
    <row r="24" spans="1:6">
      <c r="A24" t="s">
        <v>45</v>
      </c>
      <c r="B24" t="s">
        <v>46</v>
      </c>
      <c r="C24" s="3">
        <v>312266</v>
      </c>
      <c r="D24" s="3">
        <v>285145</v>
      </c>
      <c r="E24" s="3">
        <f>C24-D24</f>
        <v>27121</v>
      </c>
      <c r="F24" s="4">
        <f>IF(D24=0,"",C24/D24-1)</f>
        <v>9.51130126777604E-2</v>
      </c>
    </row>
    <row r="25" spans="1:6">
      <c r="A25" t="s">
        <v>47</v>
      </c>
      <c r="B25" t="s">
        <v>48</v>
      </c>
      <c r="C25" s="3">
        <v>240924</v>
      </c>
      <c r="D25" s="3">
        <v>114070</v>
      </c>
      <c r="E25" s="3">
        <f>C25-D25</f>
        <v>126854</v>
      </c>
      <c r="F25" s="4">
        <f>IF(D25=0,"",C25/D25-1)</f>
        <v>1.1120715350223547</v>
      </c>
    </row>
    <row r="26" spans="1:6">
      <c r="A26" t="s">
        <v>49</v>
      </c>
      <c r="B26" t="s">
        <v>50</v>
      </c>
      <c r="C26" s="3">
        <v>3904253</v>
      </c>
      <c r="D26" s="3">
        <v>4261225</v>
      </c>
      <c r="E26" s="3">
        <f>C26-D26</f>
        <v>-356972</v>
      </c>
      <c r="F26" s="4">
        <f>IF(D26=0,"",C26/D26-1)</f>
        <v>-8.3772154720766934E-2</v>
      </c>
    </row>
    <row r="27" spans="1:6">
      <c r="A27" t="s">
        <v>51</v>
      </c>
      <c r="B27" t="s">
        <v>52</v>
      </c>
      <c r="C27" s="3">
        <v>737114</v>
      </c>
      <c r="D27" s="3">
        <v>879430</v>
      </c>
      <c r="E27" s="3">
        <f>C27-D27</f>
        <v>-142316</v>
      </c>
      <c r="F27" s="4">
        <f>IF(D27=0,"",C27/D27-1)</f>
        <v>-0.16182754738864946</v>
      </c>
    </row>
    <row r="28" spans="1:6">
      <c r="A28" t="s">
        <v>53</v>
      </c>
      <c r="B28" t="s">
        <v>54</v>
      </c>
      <c r="C28" s="3">
        <v>3167139</v>
      </c>
      <c r="D28" s="3">
        <v>3381795</v>
      </c>
      <c r="E28" s="3">
        <f>C28-D28</f>
        <v>-214656</v>
      </c>
      <c r="F28" s="4">
        <f>IF(D28=0,"",C28/D28-1)</f>
        <v>-6.3473983491015851E-2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>
      <pane ySplit="4" topLeftCell="A5" activePane="bottomLeft" state="frozen"/>
      <selection pane="bottomLeft" activeCell="G1" sqref="G1:G1048576"/>
    </sheetView>
  </sheetViews>
  <sheetFormatPr defaultRowHeight="14.25" customHeight="1"/>
  <cols>
    <col min="1" max="1" width="18" customWidth="1"/>
    <col min="2" max="2" width="58" customWidth="1"/>
    <col min="3" max="5" width="20" customWidth="1"/>
    <col min="6" max="6" width="17" customWidth="1"/>
  </cols>
  <sheetData>
    <row r="1" spans="1:6" ht="30" customHeight="1">
      <c r="A1" s="12" t="s">
        <v>55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 t="s">
        <v>56</v>
      </c>
      <c r="B5" s="1" t="s">
        <v>57</v>
      </c>
      <c r="C5" s="5">
        <v>9452171</v>
      </c>
      <c r="D5" s="5">
        <v>8531721</v>
      </c>
      <c r="E5" s="5">
        <f>C5-D5</f>
        <v>920450</v>
      </c>
      <c r="F5" s="6">
        <f>IF(D5=0,"",C5/D5-1)</f>
        <v>0.10788561885696923</v>
      </c>
    </row>
    <row r="6" spans="1:6">
      <c r="A6" s="1" t="s">
        <v>58</v>
      </c>
      <c r="B6" s="1" t="s">
        <v>59</v>
      </c>
      <c r="C6" s="5">
        <v>1978222</v>
      </c>
      <c r="D6" s="5">
        <v>1144197</v>
      </c>
      <c r="E6" s="5">
        <f>C6-D6</f>
        <v>834025</v>
      </c>
      <c r="F6" s="6">
        <f>IF(D6=0,"",C6/D6-1)</f>
        <v>0.72891731056802289</v>
      </c>
    </row>
    <row r="7" spans="1:6">
      <c r="A7" t="s">
        <v>60</v>
      </c>
      <c r="B7" t="s">
        <v>61</v>
      </c>
      <c r="C7" s="3">
        <v>462060</v>
      </c>
      <c r="D7" s="3">
        <v>438679</v>
      </c>
      <c r="E7" s="3">
        <f>C7-D7</f>
        <v>23381</v>
      </c>
      <c r="F7" s="4">
        <f>IF(D7=0,"",C7/D7-1)</f>
        <v>5.3298653457311662E-2</v>
      </c>
    </row>
    <row r="8" spans="1:6">
      <c r="A8" t="s">
        <v>62</v>
      </c>
      <c r="B8" t="s">
        <v>63</v>
      </c>
      <c r="C8" s="3">
        <v>49424</v>
      </c>
      <c r="D8" s="3">
        <v>42562</v>
      </c>
      <c r="E8" s="3">
        <f>C8-D8</f>
        <v>6862</v>
      </c>
      <c r="F8" s="4">
        <f>IF(D8=0,"",C8/D8-1)</f>
        <v>0.16122362670927126</v>
      </c>
    </row>
    <row r="9" spans="1:6">
      <c r="A9" t="s">
        <v>64</v>
      </c>
      <c r="B9" t="s">
        <v>65</v>
      </c>
      <c r="C9" s="3">
        <v>412636</v>
      </c>
      <c r="D9" s="3">
        <v>396117</v>
      </c>
      <c r="E9" s="3">
        <f>C9-D9</f>
        <v>16519</v>
      </c>
      <c r="F9" s="4">
        <f>IF(D9=0,"",C9/D9-1)</f>
        <v>4.1702325323073719E-2</v>
      </c>
    </row>
    <row r="10" spans="1:6">
      <c r="A10" t="s">
        <v>66</v>
      </c>
      <c r="B10" t="s">
        <v>67</v>
      </c>
      <c r="C10" s="3">
        <v>220761</v>
      </c>
      <c r="D10" s="3">
        <v>211971</v>
      </c>
      <c r="E10" s="3">
        <f>C10-D10</f>
        <v>8790</v>
      </c>
      <c r="F10" s="4">
        <f>IF(D10=0,"",C10/D10-1)</f>
        <v>4.146793665171189E-2</v>
      </c>
    </row>
    <row r="11" spans="1:6">
      <c r="A11" t="s">
        <v>68</v>
      </c>
      <c r="B11" t="s">
        <v>69</v>
      </c>
      <c r="C11" s="3">
        <v>207968</v>
      </c>
      <c r="D11" s="3">
        <v>208953</v>
      </c>
      <c r="E11" s="3">
        <f>C11-D11</f>
        <v>-985</v>
      </c>
      <c r="F11" s="4">
        <f>IF(D11=0,"",C11/D11-1)</f>
        <v>-4.7139787416309309E-3</v>
      </c>
    </row>
    <row r="12" spans="1:6">
      <c r="A12" t="s">
        <v>70</v>
      </c>
      <c r="B12" t="s">
        <v>71</v>
      </c>
      <c r="C12" s="3">
        <v>12793</v>
      </c>
      <c r="D12" s="3">
        <v>3018</v>
      </c>
      <c r="E12" s="3">
        <f>C12-D12</f>
        <v>9775</v>
      </c>
      <c r="F12" s="4">
        <f>IF(D12=0,"",C12/D12-1)</f>
        <v>3.2388999337309476</v>
      </c>
    </row>
    <row r="13" spans="1:6">
      <c r="A13" t="s">
        <v>72</v>
      </c>
      <c r="B13" t="s">
        <v>73</v>
      </c>
      <c r="C13" s="3">
        <v>133820</v>
      </c>
      <c r="D13" s="3">
        <v>122612</v>
      </c>
      <c r="E13" s="3">
        <f>C13-D13</f>
        <v>11208</v>
      </c>
      <c r="F13" s="4">
        <f>IF(D13=0,"",C13/D13-1)</f>
        <v>9.1410302417381573E-2</v>
      </c>
    </row>
    <row r="14" spans="1:6">
      <c r="A14" t="s">
        <v>74</v>
      </c>
      <c r="B14" t="s">
        <v>75</v>
      </c>
      <c r="C14" s="3">
        <v>117918</v>
      </c>
      <c r="D14" s="3">
        <v>107846</v>
      </c>
      <c r="E14" s="3">
        <f>C14-D14</f>
        <v>10072</v>
      </c>
      <c r="F14" s="4">
        <f>IF(D14=0,"",C14/D14-1)</f>
        <v>9.3392429946405064E-2</v>
      </c>
    </row>
    <row r="15" spans="1:6">
      <c r="A15" t="s">
        <v>76</v>
      </c>
      <c r="B15" t="s">
        <v>77</v>
      </c>
      <c r="C15" s="3">
        <v>495</v>
      </c>
      <c r="D15" s="3">
        <v>831</v>
      </c>
      <c r="E15" s="3">
        <f>C15-D15</f>
        <v>-336</v>
      </c>
      <c r="F15" s="4">
        <f>IF(D15=0,"",C15/D15-1)</f>
        <v>-0.40433212996389889</v>
      </c>
    </row>
    <row r="16" spans="1:6">
      <c r="A16" t="s">
        <v>78</v>
      </c>
      <c r="B16" t="s">
        <v>79</v>
      </c>
      <c r="C16" s="3">
        <v>15407</v>
      </c>
      <c r="D16" s="3">
        <v>13935</v>
      </c>
      <c r="E16" s="3">
        <f>C16-D16</f>
        <v>1472</v>
      </c>
      <c r="F16" s="4">
        <f>IF(D16=0,"",C16/D16-1)</f>
        <v>0.10563329745245786</v>
      </c>
    </row>
    <row r="17" spans="1:6">
      <c r="A17" t="s">
        <v>80</v>
      </c>
      <c r="B17" t="s">
        <v>81</v>
      </c>
      <c r="C17" s="3">
        <v>142572</v>
      </c>
      <c r="D17" s="3">
        <v>120978</v>
      </c>
      <c r="E17" s="3">
        <f>C17-D17</f>
        <v>21594</v>
      </c>
      <c r="F17" s="4">
        <f>IF(D17=0,"",C17/D17-1)</f>
        <v>0.17849526360164658</v>
      </c>
    </row>
    <row r="18" spans="1:6">
      <c r="A18" t="s">
        <v>82</v>
      </c>
      <c r="B18" t="s">
        <v>81</v>
      </c>
      <c r="C18" s="3">
        <v>0</v>
      </c>
      <c r="D18" s="3">
        <v>0</v>
      </c>
      <c r="E18" s="3">
        <f>C18-D18</f>
        <v>0</v>
      </c>
      <c r="F18" s="4" t="str">
        <f>IF(D18=0,"",C18/D18-1)</f>
        <v/>
      </c>
    </row>
    <row r="19" spans="1:6">
      <c r="A19" t="s">
        <v>83</v>
      </c>
      <c r="B19" t="s">
        <v>84</v>
      </c>
      <c r="C19" s="3">
        <v>100079</v>
      </c>
      <c r="D19" s="3">
        <v>62845</v>
      </c>
      <c r="E19" s="3">
        <f>C19-D19</f>
        <v>37234</v>
      </c>
      <c r="F19" s="4">
        <f>IF(D19=0,"",C19/D19-1)</f>
        <v>0.59247354602593694</v>
      </c>
    </row>
    <row r="20" spans="1:6">
      <c r="A20" t="s">
        <v>85</v>
      </c>
      <c r="B20" t="s">
        <v>86</v>
      </c>
      <c r="C20" s="3">
        <v>42493</v>
      </c>
      <c r="D20" s="3">
        <v>58133</v>
      </c>
      <c r="E20" s="3">
        <f>C20-D20</f>
        <v>-15640</v>
      </c>
      <c r="F20" s="4">
        <f>IF(D20=0,"",C20/D20-1)</f>
        <v>-0.26903823989816456</v>
      </c>
    </row>
    <row r="21" spans="1:6">
      <c r="A21" t="s">
        <v>87</v>
      </c>
      <c r="B21" t="s">
        <v>88</v>
      </c>
      <c r="C21" s="3">
        <v>842786</v>
      </c>
      <c r="D21" s="3">
        <v>249957</v>
      </c>
      <c r="E21" s="3">
        <f>C21-D21</f>
        <v>592829</v>
      </c>
      <c r="F21" s="4">
        <f>IF(D21=0,"",C21/D21-1)</f>
        <v>2.371723936517081</v>
      </c>
    </row>
    <row r="22" spans="1:6">
      <c r="A22" t="s">
        <v>89</v>
      </c>
      <c r="B22" t="s">
        <v>27</v>
      </c>
      <c r="C22" s="3">
        <v>842786</v>
      </c>
      <c r="D22" s="3">
        <v>249957</v>
      </c>
      <c r="E22" s="3">
        <f>C22-D22</f>
        <v>592829</v>
      </c>
      <c r="F22" s="4">
        <f>IF(D22=0,"",C22/D22-1)</f>
        <v>2.371723936517081</v>
      </c>
    </row>
    <row r="23" spans="1:6">
      <c r="A23" t="s">
        <v>90</v>
      </c>
      <c r="B23" t="s">
        <v>91</v>
      </c>
      <c r="C23" s="3">
        <v>176223</v>
      </c>
      <c r="D23" s="3">
        <v>0</v>
      </c>
      <c r="E23" s="3">
        <f>C23-D23</f>
        <v>176223</v>
      </c>
      <c r="F23" s="4" t="str">
        <f>IF(D23=0,"",C23/D23-1)</f>
        <v/>
      </c>
    </row>
    <row r="24" spans="1:6">
      <c r="A24" t="s">
        <v>92</v>
      </c>
      <c r="B24" t="s">
        <v>93</v>
      </c>
      <c r="C24" s="3">
        <v>176223</v>
      </c>
      <c r="D24" s="3">
        <v>0</v>
      </c>
      <c r="E24" s="3">
        <f>C24-D24</f>
        <v>176223</v>
      </c>
      <c r="F24" s="4" t="str">
        <f>IF(D24=0,"",C24/D24-1)</f>
        <v/>
      </c>
    </row>
    <row r="25" spans="1:6">
      <c r="A25" s="1" t="s">
        <v>94</v>
      </c>
      <c r="B25" s="1" t="s">
        <v>95</v>
      </c>
      <c r="C25" s="5">
        <v>2030492</v>
      </c>
      <c r="D25" s="5">
        <v>2400403</v>
      </c>
      <c r="E25" s="5">
        <f>C25-D25</f>
        <v>-369911</v>
      </c>
      <c r="F25" s="6">
        <f>IF(D25=0,"",C25/D25-1)</f>
        <v>-0.15410370675257445</v>
      </c>
    </row>
    <row r="26" spans="1:6">
      <c r="A26" t="s">
        <v>96</v>
      </c>
      <c r="B26" t="s">
        <v>81</v>
      </c>
      <c r="C26" s="3">
        <v>1693710</v>
      </c>
      <c r="D26" s="3">
        <v>1540571</v>
      </c>
      <c r="E26" s="3">
        <f>C26-D26</f>
        <v>153139</v>
      </c>
      <c r="F26" s="4">
        <f>IF(D26=0,"",C26/D26-1)</f>
        <v>9.9404052133916565E-2</v>
      </c>
    </row>
    <row r="27" spans="1:6">
      <c r="A27" t="s">
        <v>97</v>
      </c>
      <c r="B27" t="s">
        <v>84</v>
      </c>
      <c r="C27" s="3">
        <v>1477270</v>
      </c>
      <c r="D27" s="3">
        <v>1472286</v>
      </c>
      <c r="E27" s="3">
        <f>C27-D27</f>
        <v>4984</v>
      </c>
      <c r="F27" s="4">
        <f>IF(D27=0,"",C27/D27-1)</f>
        <v>3.385211840634117E-3</v>
      </c>
    </row>
    <row r="28" spans="1:6">
      <c r="A28" t="s">
        <v>98</v>
      </c>
      <c r="B28" t="s">
        <v>86</v>
      </c>
      <c r="C28" s="3">
        <v>216440</v>
      </c>
      <c r="D28" s="3">
        <v>68285</v>
      </c>
      <c r="E28" s="3">
        <f>C28-D28</f>
        <v>148155</v>
      </c>
      <c r="F28" s="4">
        <f>IF(D28=0,"",C28/D28-1)</f>
        <v>2.1696565863659663</v>
      </c>
    </row>
    <row r="29" spans="1:6">
      <c r="A29" t="s">
        <v>99</v>
      </c>
      <c r="B29" t="s">
        <v>88</v>
      </c>
      <c r="C29" s="3">
        <v>230019</v>
      </c>
      <c r="D29" s="3">
        <v>753560</v>
      </c>
      <c r="E29" s="3">
        <f>C29-D29</f>
        <v>-523541</v>
      </c>
      <c r="F29" s="4">
        <f>IF(D29=0,"",C29/D29-1)</f>
        <v>-0.69475688730824348</v>
      </c>
    </row>
    <row r="30" spans="1:6">
      <c r="A30" t="s">
        <v>100</v>
      </c>
      <c r="B30" t="s">
        <v>27</v>
      </c>
      <c r="C30" s="3">
        <v>230019</v>
      </c>
      <c r="D30" s="3">
        <v>753560</v>
      </c>
      <c r="E30" s="3">
        <f>C30-D30</f>
        <v>-523541</v>
      </c>
      <c r="F30" s="4">
        <f>IF(D30=0,"",C30/D30-1)</f>
        <v>-0.69475688730824348</v>
      </c>
    </row>
    <row r="31" spans="1:6">
      <c r="A31" t="s">
        <v>101</v>
      </c>
      <c r="B31" t="s">
        <v>102</v>
      </c>
      <c r="C31" s="3">
        <v>106763</v>
      </c>
      <c r="D31" s="3">
        <v>106272</v>
      </c>
      <c r="E31" s="3">
        <f>C31-D31</f>
        <v>491</v>
      </c>
      <c r="F31" s="4">
        <f>IF(D31=0,"",C31/D31-1)</f>
        <v>4.6202198133091787E-3</v>
      </c>
    </row>
    <row r="32" spans="1:6">
      <c r="A32" t="s">
        <v>103</v>
      </c>
      <c r="B32" t="s">
        <v>104</v>
      </c>
      <c r="C32" s="3">
        <v>106763</v>
      </c>
      <c r="D32" s="3">
        <v>106272</v>
      </c>
      <c r="E32" s="3">
        <f>C32-D32</f>
        <v>491</v>
      </c>
      <c r="F32" s="4">
        <f>IF(D32=0,"",C32/D32-1)</f>
        <v>4.6202198133091787E-3</v>
      </c>
    </row>
    <row r="33" spans="1:6">
      <c r="A33" s="1" t="s">
        <v>105</v>
      </c>
      <c r="B33" s="1" t="s">
        <v>106</v>
      </c>
      <c r="C33" s="5">
        <v>5443457</v>
      </c>
      <c r="D33" s="5">
        <v>4987121</v>
      </c>
      <c r="E33" s="5">
        <f>C33-D33</f>
        <v>456336</v>
      </c>
      <c r="F33" s="6">
        <f>IF(D33=0,"",C33/D33-1)</f>
        <v>9.1502893152181297E-2</v>
      </c>
    </row>
    <row r="34" spans="1:6">
      <c r="A34" t="s">
        <v>107</v>
      </c>
      <c r="B34" t="s">
        <v>108</v>
      </c>
      <c r="C34" s="3">
        <v>2962585</v>
      </c>
      <c r="D34" s="3">
        <v>2962585</v>
      </c>
      <c r="E34" s="3">
        <f>C34-D34</f>
        <v>0</v>
      </c>
      <c r="F34" s="4">
        <f>IF(D34=0,"",C34/D34-1)</f>
        <v>0</v>
      </c>
    </row>
    <row r="35" spans="1:6">
      <c r="A35" t="s">
        <v>109</v>
      </c>
      <c r="B35" t="s">
        <v>110</v>
      </c>
      <c r="C35" s="3">
        <v>-167345</v>
      </c>
      <c r="D35" s="3">
        <v>-68362</v>
      </c>
      <c r="E35" s="3">
        <f>C35-D35</f>
        <v>-98983</v>
      </c>
      <c r="F35" s="4">
        <f>IF(D35=0,"",C35/D35-1)</f>
        <v>1.4479242854217254</v>
      </c>
    </row>
    <row r="36" spans="1:6">
      <c r="A36" t="s">
        <v>111</v>
      </c>
      <c r="B36" t="s">
        <v>112</v>
      </c>
      <c r="C36" s="3">
        <v>-69396</v>
      </c>
      <c r="D36" s="3">
        <v>-69396</v>
      </c>
      <c r="E36" s="3">
        <f>C36-D36</f>
        <v>0</v>
      </c>
      <c r="F36" s="4">
        <f>IF(D36=0,"",C36/D36-1)</f>
        <v>0</v>
      </c>
    </row>
    <row r="37" spans="1:6">
      <c r="A37" t="s">
        <v>113</v>
      </c>
      <c r="B37" t="s">
        <v>114</v>
      </c>
      <c r="C37" s="3">
        <v>-304714</v>
      </c>
      <c r="D37" s="3">
        <v>-350163</v>
      </c>
      <c r="E37" s="3">
        <f>C37-D37</f>
        <v>45449</v>
      </c>
      <c r="F37" s="4">
        <f>IF(D37=0,"",C37/D37-1)</f>
        <v>-0.12979383886932661</v>
      </c>
    </row>
    <row r="38" spans="1:6">
      <c r="A38" t="s">
        <v>115</v>
      </c>
      <c r="B38" t="s">
        <v>116</v>
      </c>
      <c r="C38" s="3">
        <v>665676</v>
      </c>
      <c r="D38" s="3">
        <v>665676</v>
      </c>
      <c r="E38" s="3">
        <f>C38-D38</f>
        <v>0</v>
      </c>
      <c r="F38" s="4">
        <f>IF(D38=0,"",C38/D38-1)</f>
        <v>0</v>
      </c>
    </row>
    <row r="39" spans="1:6">
      <c r="A39" t="s">
        <v>117</v>
      </c>
      <c r="B39" t="s">
        <v>118</v>
      </c>
      <c r="C39" s="3">
        <v>44629</v>
      </c>
      <c r="D39" s="3">
        <v>44629</v>
      </c>
      <c r="E39" s="3">
        <f>C39-D39</f>
        <v>0</v>
      </c>
      <c r="F39" s="4">
        <f>IF(D39=0,"",C39/D39-1)</f>
        <v>0</v>
      </c>
    </row>
    <row r="40" spans="1:6">
      <c r="A40" t="s">
        <v>119</v>
      </c>
      <c r="B40" t="s">
        <v>120</v>
      </c>
      <c r="C40" s="3">
        <v>-24323</v>
      </c>
      <c r="D40" s="3">
        <v>-24323</v>
      </c>
      <c r="E40" s="3">
        <f>C40-D40</f>
        <v>0</v>
      </c>
      <c r="F40" s="4">
        <f>IF(D40=0,"",C40/D40-1)</f>
        <v>0</v>
      </c>
    </row>
    <row r="41" spans="1:6">
      <c r="A41" t="s">
        <v>121</v>
      </c>
      <c r="B41" t="s">
        <v>122</v>
      </c>
      <c r="C41" s="3">
        <v>-300202</v>
      </c>
      <c r="D41" s="3">
        <v>-325937</v>
      </c>
      <c r="E41" s="3">
        <f>C41-D41</f>
        <v>25735</v>
      </c>
      <c r="F41" s="4">
        <f>IF(D41=0,"",C41/D41-1)</f>
        <v>-7.8956976348189989E-2</v>
      </c>
    </row>
    <row r="42" spans="1:6">
      <c r="A42" t="s">
        <v>123</v>
      </c>
      <c r="B42" t="s">
        <v>124</v>
      </c>
      <c r="C42" s="3">
        <v>352540</v>
      </c>
      <c r="D42" s="3">
        <v>352540</v>
      </c>
      <c r="E42" s="3">
        <f>C42-D42</f>
        <v>0</v>
      </c>
      <c r="F42" s="4">
        <f>IF(D42=0,"",C42/D42-1)</f>
        <v>0</v>
      </c>
    </row>
    <row r="43" spans="1:6">
      <c r="A43" t="s">
        <v>125</v>
      </c>
      <c r="B43" t="s">
        <v>126</v>
      </c>
      <c r="C43" s="3">
        <v>-531555</v>
      </c>
      <c r="D43" s="3">
        <v>-361388</v>
      </c>
      <c r="E43" s="3">
        <f>C43-D43</f>
        <v>-170167</v>
      </c>
      <c r="F43" s="4">
        <f>IF(D43=0,"",C43/D43-1)</f>
        <v>0.47087064318682414</v>
      </c>
    </row>
    <row r="44" spans="1:6">
      <c r="A44" t="s">
        <v>127</v>
      </c>
      <c r="B44" t="s">
        <v>128</v>
      </c>
      <c r="C44" s="3">
        <v>2248964</v>
      </c>
      <c r="D44" s="3">
        <v>1715436</v>
      </c>
      <c r="E44" s="3">
        <f>C44-D44</f>
        <v>533528</v>
      </c>
      <c r="F44" s="4">
        <f>IF(D44=0,"",C44/D44-1)</f>
        <v>0.31101597494747701</v>
      </c>
    </row>
    <row r="45" spans="1:6">
      <c r="A45" t="s">
        <v>129</v>
      </c>
      <c r="B45" t="s">
        <v>130</v>
      </c>
      <c r="C45" s="3">
        <v>272776</v>
      </c>
      <c r="D45" s="3">
        <v>228189</v>
      </c>
      <c r="E45" s="3">
        <f>C45-D45</f>
        <v>44587</v>
      </c>
      <c r="F45" s="4">
        <f>IF(D45=0,"",C45/D45-1)</f>
        <v>0.19539504533522645</v>
      </c>
    </row>
    <row r="46" spans="1:6">
      <c r="A46" t="s">
        <v>131</v>
      </c>
      <c r="B46" t="s">
        <v>132</v>
      </c>
      <c r="C46" s="3">
        <v>1976188</v>
      </c>
      <c r="D46" s="3">
        <v>1487247</v>
      </c>
      <c r="E46" s="3">
        <f>C46-D46</f>
        <v>488941</v>
      </c>
      <c r="F46" s="4">
        <f>IF(D46=0,"",C46/D46-1)</f>
        <v>0.32875574803647267</v>
      </c>
    </row>
    <row r="47" spans="1:6">
      <c r="A47" t="s">
        <v>133</v>
      </c>
      <c r="B47" t="s">
        <v>134</v>
      </c>
      <c r="C47" s="3">
        <v>61076</v>
      </c>
      <c r="D47" s="3">
        <v>71693</v>
      </c>
      <c r="E47" s="3">
        <f>C47-D47</f>
        <v>-10617</v>
      </c>
      <c r="F47" s="4">
        <f>IF(D47=0,"",C47/D47-1)</f>
        <v>-0.14808977166529502</v>
      </c>
    </row>
    <row r="48" spans="1:6">
      <c r="A48" t="s">
        <v>135</v>
      </c>
      <c r="B48" t="s">
        <v>136</v>
      </c>
      <c r="C48" s="3">
        <v>338177</v>
      </c>
      <c r="D48" s="3">
        <v>305769</v>
      </c>
      <c r="E48" s="3">
        <f>C48-D48</f>
        <v>32408</v>
      </c>
      <c r="F48" s="4">
        <f>IF(D48=0,"",C48/D48-1)</f>
        <v>0.10598850766428258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4" topLeftCell="A5" activePane="bottomLeft" state="frozen"/>
      <selection pane="bottomLeft" activeCell="F5" sqref="F5"/>
    </sheetView>
  </sheetViews>
  <sheetFormatPr defaultRowHeight="14.25" customHeight="1"/>
  <cols>
    <col min="1" max="1" width="18" customWidth="1"/>
    <col min="2" max="2" width="58" customWidth="1"/>
    <col min="3" max="5" width="20" customWidth="1"/>
    <col min="6" max="6" width="17" customWidth="1"/>
  </cols>
  <sheetData>
    <row r="1" spans="1:6" ht="30" customHeight="1">
      <c r="A1" s="12" t="s">
        <v>137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 t="s">
        <v>138</v>
      </c>
      <c r="B5" s="1" t="s">
        <v>139</v>
      </c>
      <c r="C5" s="5">
        <v>5771867</v>
      </c>
      <c r="D5" s="5">
        <v>4914747</v>
      </c>
      <c r="E5" s="5">
        <f>C5-D5</f>
        <v>857120</v>
      </c>
      <c r="F5" s="6">
        <f>IF(D5=0,"",C5/D5-1)</f>
        <v>0.17439758343613621</v>
      </c>
    </row>
    <row r="6" spans="1:6">
      <c r="A6" t="s">
        <v>140</v>
      </c>
      <c r="B6" t="s">
        <v>141</v>
      </c>
      <c r="C6" s="3">
        <v>5771867</v>
      </c>
      <c r="D6" s="3">
        <v>4914747</v>
      </c>
      <c r="E6" s="3">
        <f>C6-D6</f>
        <v>857120</v>
      </c>
      <c r="F6" s="4">
        <f>IF(D6=0,"",C6/D6-1)</f>
        <v>0.17439758343613621</v>
      </c>
    </row>
    <row r="7" spans="1:6">
      <c r="A7" s="1" t="s">
        <v>142</v>
      </c>
      <c r="B7" s="1" t="s">
        <v>143</v>
      </c>
      <c r="C7" s="5">
        <v>-1716326</v>
      </c>
      <c r="D7" s="5">
        <v>-1458672</v>
      </c>
      <c r="E7" s="5">
        <f>C7-D7</f>
        <v>-257654</v>
      </c>
      <c r="F7" s="6">
        <f>IF(D7=0,"",C7/D7-1)</f>
        <v>0.17663600864347839</v>
      </c>
    </row>
    <row r="8" spans="1:6">
      <c r="A8" t="s">
        <v>144</v>
      </c>
      <c r="B8" t="s">
        <v>145</v>
      </c>
      <c r="C8" s="3">
        <v>-1716326</v>
      </c>
      <c r="D8" s="3">
        <v>-1458672</v>
      </c>
      <c r="E8" s="3">
        <f>C8-D8</f>
        <v>-257654</v>
      </c>
      <c r="F8" s="4">
        <f>IF(D8=0,"",C8/D8-1)</f>
        <v>0.17663600864347839</v>
      </c>
    </row>
    <row r="9" spans="1:6">
      <c r="A9" s="1" t="s">
        <v>146</v>
      </c>
      <c r="B9" s="1" t="s">
        <v>147</v>
      </c>
      <c r="C9" s="5">
        <v>4055541</v>
      </c>
      <c r="D9" s="5">
        <v>3456075</v>
      </c>
      <c r="E9" s="5">
        <f>C9-D9</f>
        <v>599466</v>
      </c>
      <c r="F9" s="6">
        <f>IF(D9=0,"",C9/D9-1)</f>
        <v>0.17345283305483816</v>
      </c>
    </row>
    <row r="10" spans="1:6">
      <c r="A10" s="1" t="s">
        <v>148</v>
      </c>
      <c r="B10" s="1" t="s">
        <v>149</v>
      </c>
      <c r="C10" s="5">
        <v>-2932813</v>
      </c>
      <c r="D10" s="5">
        <v>-2604092</v>
      </c>
      <c r="E10" s="5">
        <f>C10-D10</f>
        <v>-328721</v>
      </c>
      <c r="F10" s="6">
        <f>IF(D10=0,"",C10/D10-1)</f>
        <v>0.12623248333776216</v>
      </c>
    </row>
    <row r="11" spans="1:6">
      <c r="A11" t="s">
        <v>150</v>
      </c>
      <c r="B11" t="s">
        <v>151</v>
      </c>
      <c r="C11" s="3">
        <v>-1300048</v>
      </c>
      <c r="D11" s="3">
        <v>-1114656</v>
      </c>
      <c r="E11" s="3">
        <f>C11-D11</f>
        <v>-185392</v>
      </c>
      <c r="F11" s="4">
        <f>IF(D11=0,"",C11/D11-1)</f>
        <v>0.1663221657623517</v>
      </c>
    </row>
    <row r="12" spans="1:6">
      <c r="A12" t="s">
        <v>152</v>
      </c>
      <c r="B12" t="s">
        <v>153</v>
      </c>
      <c r="C12" s="3">
        <v>-584717</v>
      </c>
      <c r="D12" s="3">
        <v>-537922</v>
      </c>
      <c r="E12" s="3">
        <f>C12-D12</f>
        <v>-46795</v>
      </c>
      <c r="F12" s="4">
        <f>IF(D12=0,"",C12/D12-1)</f>
        <v>8.6992166150482886E-2</v>
      </c>
    </row>
    <row r="13" spans="1:6">
      <c r="A13" t="s">
        <v>154</v>
      </c>
      <c r="B13" t="s">
        <v>155</v>
      </c>
      <c r="C13" s="3">
        <v>-1059471</v>
      </c>
      <c r="D13" s="3">
        <v>-949943</v>
      </c>
      <c r="E13" s="3">
        <f>C13-D13</f>
        <v>-109528</v>
      </c>
      <c r="F13" s="4">
        <f>IF(D13=0,"",C13/D13-1)</f>
        <v>0.11529954955192045</v>
      </c>
    </row>
    <row r="14" spans="1:6">
      <c r="A14" t="s">
        <v>156</v>
      </c>
      <c r="B14" t="s">
        <v>157</v>
      </c>
      <c r="C14" s="3">
        <v>-1005236</v>
      </c>
      <c r="D14" s="3">
        <v>-877330</v>
      </c>
      <c r="E14" s="3">
        <f>C14-D14</f>
        <v>-127906</v>
      </c>
      <c r="F14" s="4">
        <f>IF(D14=0,"",C14/D14-1)</f>
        <v>0.14579006759144231</v>
      </c>
    </row>
    <row r="15" spans="1:6">
      <c r="A15" t="s">
        <v>158</v>
      </c>
      <c r="B15" t="s">
        <v>159</v>
      </c>
      <c r="C15" s="3">
        <v>-59622</v>
      </c>
      <c r="D15" s="3">
        <v>-54669</v>
      </c>
      <c r="E15" s="3">
        <f>C15-D15</f>
        <v>-4953</v>
      </c>
      <c r="F15" s="4">
        <f>IF(D15=0,"",C15/D15-1)</f>
        <v>9.0599791472315117E-2</v>
      </c>
    </row>
    <row r="16" spans="1:6">
      <c r="A16" t="s">
        <v>160</v>
      </c>
      <c r="B16" t="s">
        <v>161</v>
      </c>
      <c r="C16" s="3">
        <v>5387</v>
      </c>
      <c r="D16" s="3">
        <v>-17944</v>
      </c>
      <c r="E16" s="3">
        <f>C16-D16</f>
        <v>23331</v>
      </c>
      <c r="F16" s="4">
        <f>IF(D16=0,"",C16/D16-1)</f>
        <v>-1.3002117699509586</v>
      </c>
    </row>
    <row r="17" spans="1:6">
      <c r="A17" t="s">
        <v>162</v>
      </c>
      <c r="B17" t="s">
        <v>163</v>
      </c>
      <c r="C17" s="3">
        <v>11423</v>
      </c>
      <c r="D17" s="3">
        <v>-1571</v>
      </c>
      <c r="E17" s="3">
        <f>C17-D17</f>
        <v>12994</v>
      </c>
      <c r="F17" s="4">
        <f>IF(D17=0,"",C17/D17-1)</f>
        <v>-8.2711648631444952</v>
      </c>
    </row>
    <row r="18" spans="1:6">
      <c r="A18" s="1" t="s">
        <v>164</v>
      </c>
      <c r="B18" s="1" t="s">
        <v>165</v>
      </c>
      <c r="C18" s="5">
        <v>1122728</v>
      </c>
      <c r="D18" s="5">
        <v>851983</v>
      </c>
      <c r="E18" s="5">
        <f>C18-D18</f>
        <v>270745</v>
      </c>
      <c r="F18" s="6">
        <f>IF(D18=0,"",C18/D18-1)</f>
        <v>0.31778216232014023</v>
      </c>
    </row>
    <row r="19" spans="1:6">
      <c r="A19" s="1" t="s">
        <v>166</v>
      </c>
      <c r="B19" s="1" t="s">
        <v>167</v>
      </c>
      <c r="C19" s="5">
        <v>-80750</v>
      </c>
      <c r="D19" s="5">
        <v>-92550</v>
      </c>
      <c r="E19" s="5">
        <f>C19-D19</f>
        <v>11800</v>
      </c>
      <c r="F19" s="6">
        <f>IF(D19=0,"",C19/D19-1)</f>
        <v>-0.12749864937871425</v>
      </c>
    </row>
    <row r="20" spans="1:6">
      <c r="A20" t="s">
        <v>168</v>
      </c>
      <c r="B20" t="s">
        <v>169</v>
      </c>
      <c r="C20" s="3">
        <v>270087</v>
      </c>
      <c r="D20" s="3">
        <v>218221</v>
      </c>
      <c r="E20" s="3">
        <f>C20-D20</f>
        <v>51866</v>
      </c>
      <c r="F20" s="4">
        <f>IF(D20=0,"",C20/D20-1)</f>
        <v>0.23767648393142737</v>
      </c>
    </row>
    <row r="21" spans="1:6">
      <c r="A21" t="s">
        <v>170</v>
      </c>
      <c r="B21" t="s">
        <v>171</v>
      </c>
      <c r="C21" s="3">
        <v>-350837</v>
      </c>
      <c r="D21" s="3">
        <v>-310771</v>
      </c>
      <c r="E21" s="3">
        <f>C21-D21</f>
        <v>-40066</v>
      </c>
      <c r="F21" s="4">
        <f>IF(D21=0,"",C21/D21-1)</f>
        <v>0.12892451354856149</v>
      </c>
    </row>
    <row r="22" spans="1:6">
      <c r="A22" s="1" t="s">
        <v>172</v>
      </c>
      <c r="B22" s="1" t="s">
        <v>173</v>
      </c>
      <c r="C22" s="5">
        <v>1041978</v>
      </c>
      <c r="D22" s="5">
        <v>759433</v>
      </c>
      <c r="E22" s="5">
        <f>C22-D22</f>
        <v>282545</v>
      </c>
      <c r="F22" s="6">
        <f>IF(D22=0,"",C22/D22-1)</f>
        <v>0.37204730371211148</v>
      </c>
    </row>
    <row r="23" spans="1:6">
      <c r="A23" s="1" t="s">
        <v>174</v>
      </c>
      <c r="B23" s="1" t="s">
        <v>175</v>
      </c>
      <c r="C23" s="5">
        <v>-200256</v>
      </c>
      <c r="D23" s="5">
        <v>-73506</v>
      </c>
      <c r="E23" s="5">
        <f>C23-D23</f>
        <v>-126750</v>
      </c>
      <c r="F23" s="6">
        <f>IF(D23=0,"",C23/D23-1)</f>
        <v>1.7243490327320217</v>
      </c>
    </row>
    <row r="24" spans="1:6">
      <c r="A24" t="s">
        <v>176</v>
      </c>
      <c r="B24" t="s">
        <v>177</v>
      </c>
      <c r="C24" s="3">
        <v>-202779</v>
      </c>
      <c r="D24" s="3">
        <v>-175747</v>
      </c>
      <c r="E24" s="3">
        <f>C24-D24</f>
        <v>-27032</v>
      </c>
      <c r="F24" s="4">
        <f>IF(D24=0,"",C24/D24-1)</f>
        <v>0.1538120138608341</v>
      </c>
    </row>
    <row r="25" spans="1:6">
      <c r="A25" t="s">
        <v>178</v>
      </c>
      <c r="B25" t="s">
        <v>179</v>
      </c>
      <c r="C25" s="3">
        <v>2523</v>
      </c>
      <c r="D25" s="3">
        <v>102241</v>
      </c>
      <c r="E25" s="3">
        <f>C25-D25</f>
        <v>-99718</v>
      </c>
      <c r="F25" s="4">
        <f>IF(D25=0,"",C25/D25-1)</f>
        <v>-0.97532301131639954</v>
      </c>
    </row>
    <row r="26" spans="1:6">
      <c r="A26" s="1" t="s">
        <v>180</v>
      </c>
      <c r="B26" s="1" t="s">
        <v>181</v>
      </c>
      <c r="C26" s="5">
        <v>841722</v>
      </c>
      <c r="D26" s="5">
        <v>685927</v>
      </c>
      <c r="E26" s="5">
        <f>C26-D26</f>
        <v>155795</v>
      </c>
      <c r="F26" s="6">
        <f>IF(D26=0,"",C26/D26-1)</f>
        <v>0.2271305838667963</v>
      </c>
    </row>
    <row r="27" spans="1:6">
      <c r="A27" s="1" t="s">
        <v>182</v>
      </c>
      <c r="B27" s="1" t="s">
        <v>183</v>
      </c>
      <c r="C27" s="5">
        <v>79020</v>
      </c>
      <c r="D27" s="5">
        <v>49516</v>
      </c>
      <c r="E27" s="5">
        <f>C27-D27</f>
        <v>29504</v>
      </c>
      <c r="F27" s="6">
        <f>IF(D27=0,"",C27/D27-1)</f>
        <v>0.59584780676952898</v>
      </c>
    </row>
    <row r="28" spans="1:6">
      <c r="A28" t="s">
        <v>184</v>
      </c>
      <c r="B28" t="s">
        <v>185</v>
      </c>
      <c r="C28" s="3">
        <v>79020</v>
      </c>
      <c r="D28" s="3">
        <v>49516</v>
      </c>
      <c r="E28" s="3">
        <f>C28-D28</f>
        <v>29504</v>
      </c>
      <c r="F28" s="4">
        <f>IF(D28=0,"",C28/D28-1)</f>
        <v>0.59584780676952898</v>
      </c>
    </row>
    <row r="29" spans="1:6">
      <c r="A29" t="s">
        <v>186</v>
      </c>
      <c r="B29" t="s">
        <v>187</v>
      </c>
      <c r="C29" s="3">
        <v>0</v>
      </c>
      <c r="D29" s="3">
        <v>-1085</v>
      </c>
      <c r="E29" s="3">
        <f>C29-D29</f>
        <v>1085</v>
      </c>
      <c r="F29" s="4">
        <f>IF(D29=0,"",C29/D29-1)</f>
        <v>-1</v>
      </c>
    </row>
    <row r="30" spans="1:6">
      <c r="A30" t="s">
        <v>188</v>
      </c>
      <c r="B30" t="s">
        <v>189</v>
      </c>
      <c r="C30" s="3">
        <v>1684</v>
      </c>
      <c r="D30" s="3">
        <v>2787</v>
      </c>
      <c r="E30" s="3">
        <f>C30-D30</f>
        <v>-1103</v>
      </c>
      <c r="F30" s="4">
        <f>IF(D30=0,"",C30/D30-1)</f>
        <v>-0.39576605669178333</v>
      </c>
    </row>
    <row r="31" spans="1:6">
      <c r="A31" t="s">
        <v>190</v>
      </c>
      <c r="B31" t="s">
        <v>191</v>
      </c>
      <c r="C31" s="3">
        <v>77336</v>
      </c>
      <c r="D31" s="3">
        <v>47814</v>
      </c>
      <c r="E31" s="3">
        <f>C31-D31</f>
        <v>29522</v>
      </c>
      <c r="F31" s="4">
        <f>IF(D31=0,"",C31/D31-1)</f>
        <v>0.61743422428577399</v>
      </c>
    </row>
    <row r="32" spans="1:6">
      <c r="A32" s="1" t="s">
        <v>192</v>
      </c>
      <c r="B32" s="1" t="s">
        <v>193</v>
      </c>
      <c r="C32" s="5">
        <v>920742</v>
      </c>
      <c r="D32" s="5">
        <v>735443</v>
      </c>
      <c r="E32" s="5">
        <f>C32-D32</f>
        <v>185299</v>
      </c>
      <c r="F32" s="6">
        <f>IF(D32=0,"",C32/D32-1)</f>
        <v>0.2519556240252474</v>
      </c>
    </row>
    <row r="33" spans="1:6">
      <c r="A33" t="s">
        <v>194</v>
      </c>
      <c r="B33" t="s">
        <v>195</v>
      </c>
      <c r="C33" s="3">
        <v>891741</v>
      </c>
      <c r="D33" s="3">
        <v>717513</v>
      </c>
      <c r="E33" s="3">
        <f>C33-D33</f>
        <v>174228</v>
      </c>
      <c r="F33" s="4">
        <f>IF(D33=0,"",C33/D33-1)</f>
        <v>0.24282208127239513</v>
      </c>
    </row>
    <row r="34" spans="1:6">
      <c r="A34" t="s">
        <v>196</v>
      </c>
      <c r="B34" t="s">
        <v>197</v>
      </c>
      <c r="C34" s="3">
        <v>29001</v>
      </c>
      <c r="D34" s="3">
        <v>17930</v>
      </c>
      <c r="E34" s="3">
        <f>C34-D34</f>
        <v>11071</v>
      </c>
      <c r="F34" s="4">
        <f>IF(D34=0,"",C34/D34-1)</f>
        <v>0.61745677635248186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4" topLeftCell="A5" activePane="bottomLeft" state="frozen"/>
      <selection pane="bottomLeft" activeCell="G1" sqref="G1:G1048576"/>
    </sheetView>
  </sheetViews>
  <sheetFormatPr defaultRowHeight="14.25" customHeight="1"/>
  <cols>
    <col min="1" max="1" width="18" customWidth="1"/>
    <col min="2" max="2" width="58" customWidth="1"/>
    <col min="3" max="5" width="20" customWidth="1"/>
    <col min="6" max="6" width="17" customWidth="1"/>
  </cols>
  <sheetData>
    <row r="1" spans="1:6" ht="30" customHeight="1">
      <c r="A1" s="12" t="s">
        <v>198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 t="s">
        <v>199</v>
      </c>
      <c r="B5" s="1" t="s">
        <v>200</v>
      </c>
      <c r="C5" s="5">
        <v>920742</v>
      </c>
      <c r="D5" s="5">
        <v>735443</v>
      </c>
      <c r="E5" s="5">
        <f>C5-D5</f>
        <v>185299</v>
      </c>
      <c r="F5" s="6">
        <f>IF(D5=0,"",C5/D5-1)</f>
        <v>0.2519556240252474</v>
      </c>
    </row>
    <row r="6" spans="1:6">
      <c r="A6" s="1" t="s">
        <v>201</v>
      </c>
      <c r="B6" s="1" t="s">
        <v>202</v>
      </c>
      <c r="C6" s="5">
        <v>-10617</v>
      </c>
      <c r="D6" s="5">
        <v>34241</v>
      </c>
      <c r="E6" s="5">
        <f>C6-D6</f>
        <v>-44858</v>
      </c>
      <c r="F6" s="6">
        <f>IF(D6=0,"",C6/D6-1)</f>
        <v>-1.3100668788878829</v>
      </c>
    </row>
    <row r="7" spans="1:6">
      <c r="A7" t="s">
        <v>203</v>
      </c>
      <c r="B7" t="s">
        <v>204</v>
      </c>
      <c r="C7" s="3">
        <v>-10981</v>
      </c>
      <c r="D7" s="3">
        <v>34617</v>
      </c>
      <c r="E7" s="3">
        <f>C7-D7</f>
        <v>-45598</v>
      </c>
      <c r="F7" s="4">
        <f>IF(D7=0,"",C7/D7-1)</f>
        <v>-1.3172140855648959</v>
      </c>
    </row>
    <row r="8" spans="1:6">
      <c r="A8" t="s">
        <v>205</v>
      </c>
      <c r="B8" t="s">
        <v>206</v>
      </c>
      <c r="C8" s="3">
        <v>364</v>
      </c>
      <c r="D8" s="3">
        <v>-376</v>
      </c>
      <c r="E8" s="3">
        <f>C8-D8</f>
        <v>740</v>
      </c>
      <c r="F8" s="4">
        <f>IF(D8=0,"",C8/D8-1)</f>
        <v>-1.9680851063829787</v>
      </c>
    </row>
    <row r="9" spans="1:6">
      <c r="A9" s="1" t="s">
        <v>207</v>
      </c>
      <c r="B9" s="1" t="s">
        <v>208</v>
      </c>
      <c r="C9" s="5">
        <v>910125</v>
      </c>
      <c r="D9" s="5">
        <v>769684</v>
      </c>
      <c r="E9" s="5">
        <f>C9-D9</f>
        <v>140441</v>
      </c>
      <c r="F9" s="6">
        <f>IF(D9=0,"",C9/D9-1)</f>
        <v>0.18246579115585093</v>
      </c>
    </row>
    <row r="10" spans="1:6">
      <c r="A10" t="s">
        <v>209</v>
      </c>
      <c r="B10" t="s">
        <v>195</v>
      </c>
      <c r="C10" s="3">
        <v>881124</v>
      </c>
      <c r="D10" s="3">
        <v>751754</v>
      </c>
      <c r="E10" s="3">
        <f>C10-D10</f>
        <v>129370</v>
      </c>
      <c r="F10" s="4">
        <f>IF(D10=0,"",C10/D10-1)</f>
        <v>0.1720908701516719</v>
      </c>
    </row>
    <row r="11" spans="1:6">
      <c r="A11" t="s">
        <v>210</v>
      </c>
      <c r="B11" t="s">
        <v>197</v>
      </c>
      <c r="C11" s="3">
        <v>29001</v>
      </c>
      <c r="D11" s="3">
        <v>17930</v>
      </c>
      <c r="E11" s="3">
        <f>C11-D11</f>
        <v>11071</v>
      </c>
      <c r="F11" s="4">
        <f>IF(D11=0,"",C11/D11-1)</f>
        <v>0.61745677635248186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>
      <pane ySplit="4" topLeftCell="A5" activePane="bottomLeft" state="frozen"/>
      <selection pane="bottomLeft" activeCell="G1" sqref="G1:G1048576"/>
    </sheetView>
  </sheetViews>
  <sheetFormatPr defaultRowHeight="14.25" customHeight="1"/>
  <cols>
    <col min="1" max="1" width="18" customWidth="1"/>
    <col min="2" max="2" width="58" customWidth="1"/>
    <col min="3" max="5" width="20" customWidth="1"/>
    <col min="6" max="6" width="17" customWidth="1"/>
  </cols>
  <sheetData>
    <row r="1" spans="1:6" ht="30" customHeight="1">
      <c r="A1" s="12" t="s">
        <v>211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 t="s">
        <v>212</v>
      </c>
      <c r="B5" s="1" t="s">
        <v>213</v>
      </c>
      <c r="C5" s="5">
        <v>1203183</v>
      </c>
      <c r="D5" s="5">
        <v>1032985</v>
      </c>
      <c r="E5" s="5">
        <f>C5-D5</f>
        <v>170198</v>
      </c>
      <c r="F5" s="6">
        <f>IF(D5=0,"",C5/D5-1)</f>
        <v>0.16476328310672472</v>
      </c>
    </row>
    <row r="6" spans="1:6">
      <c r="A6" t="s">
        <v>214</v>
      </c>
      <c r="B6" t="s">
        <v>215</v>
      </c>
      <c r="C6" s="3">
        <v>1842463</v>
      </c>
      <c r="D6" s="3">
        <v>1437188</v>
      </c>
      <c r="E6" s="3">
        <f>C6-D6</f>
        <v>405275</v>
      </c>
      <c r="F6" s="4">
        <f>IF(D6=0,"",C6/D6-1)</f>
        <v>0.28199163922882731</v>
      </c>
    </row>
    <row r="7" spans="1:6">
      <c r="A7" t="s">
        <v>216</v>
      </c>
      <c r="B7" t="s">
        <v>217</v>
      </c>
      <c r="C7" s="3">
        <v>1041978</v>
      </c>
      <c r="D7" s="3">
        <v>759433</v>
      </c>
      <c r="E7" s="3">
        <f>C7-D7</f>
        <v>282545</v>
      </c>
      <c r="F7" s="4">
        <f>IF(D7=0,"",C7/D7-1)</f>
        <v>0.37204730371211148</v>
      </c>
    </row>
    <row r="8" spans="1:6">
      <c r="A8" t="s">
        <v>218</v>
      </c>
      <c r="B8" t="s">
        <v>219</v>
      </c>
      <c r="C8" s="3">
        <v>341084</v>
      </c>
      <c r="D8" s="3">
        <v>313263</v>
      </c>
      <c r="E8" s="3">
        <f>C8-D8</f>
        <v>27821</v>
      </c>
      <c r="F8" s="4">
        <f>IF(D8=0,"",C8/D8-1)</f>
        <v>8.8810360623501561E-2</v>
      </c>
    </row>
    <row r="9" spans="1:6">
      <c r="A9" t="s">
        <v>220</v>
      </c>
      <c r="B9" t="s">
        <v>221</v>
      </c>
      <c r="C9" s="3">
        <v>82603</v>
      </c>
      <c r="D9" s="3">
        <v>46390</v>
      </c>
      <c r="E9" s="3">
        <f>C9-D9</f>
        <v>36213</v>
      </c>
      <c r="F9" s="4">
        <f>IF(D9=0,"",C9/D9-1)</f>
        <v>0.7806208234533305</v>
      </c>
    </row>
    <row r="10" spans="1:6">
      <c r="A10" t="s">
        <v>222</v>
      </c>
      <c r="B10" t="s">
        <v>223</v>
      </c>
      <c r="C10" s="3">
        <v>-5041</v>
      </c>
      <c r="D10" s="3">
        <v>-9612</v>
      </c>
      <c r="E10" s="3">
        <f>C10-D10</f>
        <v>4571</v>
      </c>
      <c r="F10" s="4">
        <f>IF(D10=0,"",C10/D10-1)</f>
        <v>-0.47555139409071989</v>
      </c>
    </row>
    <row r="11" spans="1:6">
      <c r="A11" t="s">
        <v>224</v>
      </c>
      <c r="B11" t="s">
        <v>159</v>
      </c>
      <c r="C11" s="3">
        <v>59622</v>
      </c>
      <c r="D11" s="3">
        <v>54669</v>
      </c>
      <c r="E11" s="3">
        <f>C11-D11</f>
        <v>4953</v>
      </c>
      <c r="F11" s="4">
        <f>IF(D11=0,"",C11/D11-1)</f>
        <v>9.0599791472315117E-2</v>
      </c>
    </row>
    <row r="12" spans="1:6">
      <c r="A12" t="s">
        <v>225</v>
      </c>
      <c r="B12" t="s">
        <v>226</v>
      </c>
      <c r="C12" s="3">
        <v>-11423</v>
      </c>
      <c r="D12" s="3">
        <v>1571</v>
      </c>
      <c r="E12" s="3">
        <f>C12-D12</f>
        <v>-12994</v>
      </c>
      <c r="F12" s="4">
        <f>IF(D12=0,"",C12/D12-1)</f>
        <v>-8.2711648631444952</v>
      </c>
    </row>
    <row r="13" spans="1:6">
      <c r="A13" t="s">
        <v>227</v>
      </c>
      <c r="B13" t="s">
        <v>228</v>
      </c>
      <c r="C13" s="3">
        <v>37495</v>
      </c>
      <c r="D13" s="3">
        <v>19977</v>
      </c>
      <c r="E13" s="3">
        <f>C13-D13</f>
        <v>17518</v>
      </c>
      <c r="F13" s="4">
        <f>IF(D13=0,"",C13/D13-1)</f>
        <v>0.87690844471141816</v>
      </c>
    </row>
    <row r="14" spans="1:6">
      <c r="A14" t="s">
        <v>229</v>
      </c>
      <c r="B14" t="s">
        <v>230</v>
      </c>
      <c r="C14" s="3">
        <v>14005</v>
      </c>
      <c r="D14" s="3">
        <v>-6450</v>
      </c>
      <c r="E14" s="3">
        <f>C14-D14</f>
        <v>20455</v>
      </c>
      <c r="F14" s="4">
        <f>IF(D14=0,"",C14/D14-1)</f>
        <v>-3.1713178294573643</v>
      </c>
    </row>
    <row r="15" spans="1:6">
      <c r="A15" t="s">
        <v>231</v>
      </c>
      <c r="B15" t="s">
        <v>232</v>
      </c>
      <c r="C15" s="3">
        <v>282140</v>
      </c>
      <c r="D15" s="3">
        <v>257947</v>
      </c>
      <c r="E15" s="3">
        <f>C15-D15</f>
        <v>24193</v>
      </c>
      <c r="F15" s="4">
        <f>IF(D15=0,"",C15/D15-1)</f>
        <v>9.3790584887593287E-2</v>
      </c>
    </row>
    <row r="16" spans="1:6">
      <c r="A16" t="s">
        <v>233</v>
      </c>
      <c r="B16" t="s">
        <v>234</v>
      </c>
      <c r="C16" s="3">
        <v>-291052</v>
      </c>
      <c r="D16" s="3">
        <v>-78516</v>
      </c>
      <c r="E16" s="3">
        <f>C16-D16</f>
        <v>-212536</v>
      </c>
      <c r="F16" s="4">
        <f>IF(D16=0,"",C16/D16-1)</f>
        <v>2.7069132406133782</v>
      </c>
    </row>
    <row r="17" spans="1:6">
      <c r="A17" t="s">
        <v>235</v>
      </c>
      <c r="B17" t="s">
        <v>236</v>
      </c>
      <c r="C17" s="3">
        <v>-182460</v>
      </c>
      <c r="D17" s="3">
        <v>-67157</v>
      </c>
      <c r="E17" s="3">
        <f>C17-D17</f>
        <v>-115303</v>
      </c>
      <c r="F17" s="4">
        <f>IF(D17=0,"",C17/D17-1)</f>
        <v>1.7169170749140075</v>
      </c>
    </row>
    <row r="18" spans="1:6">
      <c r="A18" t="s">
        <v>237</v>
      </c>
      <c r="B18" t="s">
        <v>238</v>
      </c>
      <c r="C18" s="3">
        <v>-24896</v>
      </c>
      <c r="D18" s="3">
        <v>-46402</v>
      </c>
      <c r="E18" s="3">
        <f>C18-D18</f>
        <v>21506</v>
      </c>
      <c r="F18" s="4">
        <f>IF(D18=0,"",C18/D18-1)</f>
        <v>-0.46347140209473725</v>
      </c>
    </row>
    <row r="19" spans="1:6">
      <c r="A19" t="s">
        <v>239</v>
      </c>
      <c r="B19" t="s">
        <v>240</v>
      </c>
      <c r="C19" s="3">
        <v>-3816</v>
      </c>
      <c r="D19" s="3">
        <v>1675</v>
      </c>
      <c r="E19" s="3">
        <f>C19-D19</f>
        <v>-5491</v>
      </c>
      <c r="F19" s="4">
        <f>IF(D19=0,"",C19/D19-1)</f>
        <v>-3.2782089552238807</v>
      </c>
    </row>
    <row r="20" spans="1:6">
      <c r="A20" t="s">
        <v>241</v>
      </c>
      <c r="B20" t="s">
        <v>242</v>
      </c>
      <c r="C20" s="3">
        <v>-130349</v>
      </c>
      <c r="D20" s="3">
        <v>-82215</v>
      </c>
      <c r="E20" s="3">
        <f>C20-D20</f>
        <v>-48134</v>
      </c>
      <c r="F20" s="4">
        <f>IF(D20=0,"",C20/D20-1)</f>
        <v>0.5854649394879281</v>
      </c>
    </row>
    <row r="21" spans="1:6">
      <c r="A21" t="s">
        <v>243</v>
      </c>
      <c r="B21" t="s">
        <v>61</v>
      </c>
      <c r="C21" s="3">
        <v>84513</v>
      </c>
      <c r="D21" s="3">
        <v>79873</v>
      </c>
      <c r="E21" s="3">
        <f>C21-D21</f>
        <v>4640</v>
      </c>
      <c r="F21" s="4">
        <f>IF(D21=0,"",C21/D21-1)</f>
        <v>5.8092221401474742E-2</v>
      </c>
    </row>
    <row r="22" spans="1:6">
      <c r="A22" t="s">
        <v>244</v>
      </c>
      <c r="B22" t="s">
        <v>67</v>
      </c>
      <c r="C22" s="3">
        <v>10456</v>
      </c>
      <c r="D22" s="3">
        <v>49922</v>
      </c>
      <c r="E22" s="3">
        <f>C22-D22</f>
        <v>-39466</v>
      </c>
      <c r="F22" s="4">
        <f>IF(D22=0,"",C22/D22-1)</f>
        <v>-0.79055326309042107</v>
      </c>
    </row>
    <row r="23" spans="1:6">
      <c r="A23" t="s">
        <v>245</v>
      </c>
      <c r="B23" t="s">
        <v>246</v>
      </c>
      <c r="C23" s="3">
        <v>7808</v>
      </c>
      <c r="D23" s="3">
        <v>3872</v>
      </c>
      <c r="E23" s="3">
        <f>C23-D23</f>
        <v>3936</v>
      </c>
      <c r="F23" s="4">
        <f>IF(D23=0,"",C23/D23-1)</f>
        <v>1.0165289256198347</v>
      </c>
    </row>
    <row r="24" spans="1:6">
      <c r="A24" t="s">
        <v>247</v>
      </c>
      <c r="B24" t="s">
        <v>248</v>
      </c>
      <c r="C24" s="3">
        <v>-24876</v>
      </c>
      <c r="D24" s="3">
        <v>2569</v>
      </c>
      <c r="E24" s="3">
        <f>C24-D24</f>
        <v>-27445</v>
      </c>
      <c r="F24" s="4">
        <f>IF(D24=0,"",C24/D24-1)</f>
        <v>-10.683145192681977</v>
      </c>
    </row>
    <row r="25" spans="1:6">
      <c r="A25" t="s">
        <v>249</v>
      </c>
      <c r="B25" t="s">
        <v>250</v>
      </c>
      <c r="C25" s="3">
        <v>-27432</v>
      </c>
      <c r="D25" s="3">
        <v>-20653</v>
      </c>
      <c r="E25" s="3">
        <f>C25-D25</f>
        <v>-6779</v>
      </c>
      <c r="F25" s="4">
        <f>IF(D25=0,"",C25/D25-1)</f>
        <v>0.32823318646201516</v>
      </c>
    </row>
    <row r="26" spans="1:6">
      <c r="A26" t="s">
        <v>251</v>
      </c>
      <c r="B26" t="s">
        <v>27</v>
      </c>
      <c r="C26" s="3">
        <v>-348228</v>
      </c>
      <c r="D26" s="3">
        <v>-325687</v>
      </c>
      <c r="E26" s="3">
        <f>C26-D26</f>
        <v>-22541</v>
      </c>
      <c r="F26" s="4">
        <f>IF(D26=0,"",C26/D26-1)</f>
        <v>6.9210622468812044E-2</v>
      </c>
    </row>
    <row r="27" spans="1:6">
      <c r="A27" t="s">
        <v>252</v>
      </c>
      <c r="B27" t="s">
        <v>253</v>
      </c>
      <c r="C27" s="3">
        <v>-198614</v>
      </c>
      <c r="D27" s="3">
        <v>-177828</v>
      </c>
      <c r="E27" s="3">
        <f>C27-D27</f>
        <v>-20786</v>
      </c>
      <c r="F27" s="4">
        <f>IF(D27=0,"",C27/D27-1)</f>
        <v>0.11688822907528618</v>
      </c>
    </row>
    <row r="28" spans="1:6">
      <c r="A28" t="s">
        <v>254</v>
      </c>
      <c r="B28" t="s">
        <v>255</v>
      </c>
      <c r="C28" s="3">
        <v>-149614</v>
      </c>
      <c r="D28" s="3">
        <v>-147859</v>
      </c>
      <c r="E28" s="3">
        <f>C28-D28</f>
        <v>-1755</v>
      </c>
      <c r="F28" s="4">
        <f>IF(D28=0,"",C28/D28-1)</f>
        <v>1.1869416132937571E-2</v>
      </c>
    </row>
    <row r="29" spans="1:6">
      <c r="A29" s="1" t="s">
        <v>256</v>
      </c>
      <c r="B29" s="1" t="s">
        <v>257</v>
      </c>
      <c r="C29" s="5">
        <v>-939333</v>
      </c>
      <c r="D29" s="5">
        <v>-1253473</v>
      </c>
      <c r="E29" s="5">
        <f>C29-D29</f>
        <v>314140</v>
      </c>
      <c r="F29" s="6">
        <f>IF(D29=0,"",C29/D29-1)</f>
        <v>-0.25061568936865808</v>
      </c>
    </row>
    <row r="30" spans="1:6">
      <c r="A30" t="s">
        <v>258</v>
      </c>
      <c r="B30" t="s">
        <v>259</v>
      </c>
      <c r="C30" s="3">
        <v>35493</v>
      </c>
      <c r="D30" s="3">
        <v>0</v>
      </c>
      <c r="E30" s="3">
        <f>C30-D30</f>
        <v>35493</v>
      </c>
      <c r="F30" s="4" t="str">
        <f>IF(D30=0,"",C30/D30-1)</f>
        <v/>
      </c>
    </row>
    <row r="31" spans="1:6">
      <c r="A31" t="s">
        <v>260</v>
      </c>
      <c r="B31" t="s">
        <v>261</v>
      </c>
      <c r="C31" s="3">
        <v>-159804</v>
      </c>
      <c r="D31" s="3">
        <v>-117275</v>
      </c>
      <c r="E31" s="3">
        <f>C31-D31</f>
        <v>-42529</v>
      </c>
      <c r="F31" s="4">
        <f>IF(D31=0,"",C31/D31-1)</f>
        <v>0.36264335962481353</v>
      </c>
    </row>
    <row r="32" spans="1:6">
      <c r="A32" t="s">
        <v>262</v>
      </c>
      <c r="B32" t="s">
        <v>263</v>
      </c>
      <c r="C32" s="3">
        <v>-97824</v>
      </c>
      <c r="D32" s="3">
        <v>-117023</v>
      </c>
      <c r="E32" s="3">
        <f>C32-D32</f>
        <v>19199</v>
      </c>
      <c r="F32" s="4">
        <f>IF(D32=0,"",C32/D32-1)</f>
        <v>-0.1640617656358152</v>
      </c>
    </row>
    <row r="33" spans="1:6">
      <c r="A33" t="s">
        <v>264</v>
      </c>
      <c r="B33" t="s">
        <v>265</v>
      </c>
      <c r="C33" s="3">
        <v>15883</v>
      </c>
      <c r="D33" s="3">
        <v>-589</v>
      </c>
      <c r="E33" s="3">
        <f>C33-D33</f>
        <v>16472</v>
      </c>
      <c r="F33" s="4">
        <f>IF(D33=0,"",C33/D33-1)</f>
        <v>-27.966044142614599</v>
      </c>
    </row>
    <row r="34" spans="1:6">
      <c r="A34" t="s">
        <v>266</v>
      </c>
      <c r="B34" t="s">
        <v>267</v>
      </c>
      <c r="C34" s="3">
        <v>-8117</v>
      </c>
      <c r="D34" s="3">
        <v>-512207</v>
      </c>
      <c r="E34" s="3">
        <f>C34-D34</f>
        <v>504090</v>
      </c>
      <c r="F34" s="4">
        <f>IF(D34=0,"",C34/D34-1)</f>
        <v>-0.98415289131152051</v>
      </c>
    </row>
    <row r="35" spans="1:6">
      <c r="A35" t="s">
        <v>268</v>
      </c>
      <c r="B35" t="s">
        <v>269</v>
      </c>
      <c r="C35" s="3">
        <v>-97068</v>
      </c>
      <c r="D35" s="3">
        <v>-449415</v>
      </c>
      <c r="E35" s="3">
        <f>C35-D35</f>
        <v>352347</v>
      </c>
      <c r="F35" s="4">
        <f>IF(D35=0,"",C35/D35-1)</f>
        <v>-0.78401254964787559</v>
      </c>
    </row>
    <row r="36" spans="1:6">
      <c r="A36" t="s">
        <v>270</v>
      </c>
      <c r="B36" t="s">
        <v>271</v>
      </c>
      <c r="C36" s="3">
        <v>0</v>
      </c>
      <c r="D36" s="3">
        <v>41809</v>
      </c>
      <c r="E36" s="3">
        <f>C36-D36</f>
        <v>-41809</v>
      </c>
      <c r="F36" s="4">
        <f>IF(D36=0,"",C36/D36-1)</f>
        <v>-1</v>
      </c>
    </row>
    <row r="37" spans="1:6">
      <c r="A37" t="s">
        <v>272</v>
      </c>
      <c r="B37" t="s">
        <v>273</v>
      </c>
      <c r="C37" s="3">
        <v>11252</v>
      </c>
      <c r="D37" s="3">
        <v>10822</v>
      </c>
      <c r="E37" s="3">
        <f>C37-D37</f>
        <v>430</v>
      </c>
      <c r="F37" s="4">
        <f>IF(D37=0,"",C37/D37-1)</f>
        <v>3.9733875438920707E-2</v>
      </c>
    </row>
    <row r="38" spans="1:6">
      <c r="A38" t="s">
        <v>274</v>
      </c>
      <c r="B38" t="s">
        <v>275</v>
      </c>
      <c r="C38" s="3">
        <v>-60325</v>
      </c>
      <c r="D38" s="3">
        <v>-47025</v>
      </c>
      <c r="E38" s="3">
        <f>C38-D38</f>
        <v>-13300</v>
      </c>
      <c r="F38" s="4">
        <f>IF(D38=0,"",C38/D38-1)</f>
        <v>0.28282828282828287</v>
      </c>
    </row>
    <row r="39" spans="1:6">
      <c r="A39" t="s">
        <v>276</v>
      </c>
      <c r="B39" t="s">
        <v>277</v>
      </c>
      <c r="C39" s="3">
        <v>0</v>
      </c>
      <c r="D39" s="3">
        <v>0</v>
      </c>
      <c r="E39" s="3">
        <f>C39-D39</f>
        <v>0</v>
      </c>
      <c r="F39" s="4" t="str">
        <f>IF(D39=0,"",C39/D39-1)</f>
        <v/>
      </c>
    </row>
    <row r="40" spans="1:6">
      <c r="A40" t="s">
        <v>278</v>
      </c>
      <c r="B40" t="s">
        <v>279</v>
      </c>
      <c r="C40" s="3">
        <v>-578823</v>
      </c>
      <c r="D40" s="3">
        <v>-62570</v>
      </c>
      <c r="E40" s="3">
        <f>C40-D40</f>
        <v>-516253</v>
      </c>
      <c r="F40" s="4">
        <f>IF(D40=0,"",C40/D40-1)</f>
        <v>8.2508070960524211</v>
      </c>
    </row>
    <row r="41" spans="1:6">
      <c r="A41" s="1" t="s">
        <v>280</v>
      </c>
      <c r="B41" s="1" t="s">
        <v>281</v>
      </c>
      <c r="C41" s="5">
        <v>-420309</v>
      </c>
      <c r="D41" s="5">
        <v>-966512</v>
      </c>
      <c r="E41" s="5">
        <f>C41-D41</f>
        <v>546203</v>
      </c>
      <c r="F41" s="6">
        <f>IF(D41=0,"",C41/D41-1)</f>
        <v>-0.5651280066879667</v>
      </c>
    </row>
    <row r="42" spans="1:6">
      <c r="A42" t="s">
        <v>282</v>
      </c>
      <c r="B42" t="s">
        <v>283</v>
      </c>
      <c r="C42" s="3">
        <v>0</v>
      </c>
      <c r="D42" s="3">
        <v>-40372</v>
      </c>
      <c r="E42" s="3">
        <f>C42-D42</f>
        <v>40372</v>
      </c>
      <c r="F42" s="4">
        <f>IF(D42=0,"",C42/D42-1)</f>
        <v>-1</v>
      </c>
    </row>
    <row r="43" spans="1:6">
      <c r="A43" t="s">
        <v>284</v>
      </c>
      <c r="B43" t="s">
        <v>285</v>
      </c>
      <c r="C43" s="3">
        <v>0</v>
      </c>
      <c r="D43" s="3">
        <v>-1505000</v>
      </c>
      <c r="E43" s="3">
        <f>C43-D43</f>
        <v>1505000</v>
      </c>
      <c r="F43" s="4">
        <f>IF(D43=0,"",C43/D43-1)</f>
        <v>-1</v>
      </c>
    </row>
    <row r="44" spans="1:6">
      <c r="A44" t="s">
        <v>286</v>
      </c>
      <c r="B44" t="s">
        <v>287</v>
      </c>
      <c r="C44" s="3">
        <v>-62526</v>
      </c>
      <c r="D44" s="3">
        <v>-59402</v>
      </c>
      <c r="E44" s="3">
        <f>C44-D44</f>
        <v>-3124</v>
      </c>
      <c r="F44" s="4">
        <f>IF(D44=0,"",C44/D44-1)</f>
        <v>5.2590821857849912E-2</v>
      </c>
    </row>
    <row r="45" spans="1:6">
      <c r="A45" t="s">
        <v>288</v>
      </c>
      <c r="B45" t="s">
        <v>289</v>
      </c>
      <c r="C45" s="3">
        <v>-357783</v>
      </c>
      <c r="D45" s="3">
        <v>-265352</v>
      </c>
      <c r="E45" s="3">
        <f>C45-D45</f>
        <v>-92431</v>
      </c>
      <c r="F45" s="4">
        <f>IF(D45=0,"",C45/D45-1)</f>
        <v>0.34833353432421843</v>
      </c>
    </row>
    <row r="46" spans="1:6">
      <c r="A46" t="s">
        <v>290</v>
      </c>
      <c r="B46" t="s">
        <v>291</v>
      </c>
      <c r="C46" s="3">
        <v>0</v>
      </c>
      <c r="D46" s="3">
        <v>1474982</v>
      </c>
      <c r="E46" s="3">
        <f>C46-D46</f>
        <v>-1474982</v>
      </c>
      <c r="F46" s="4">
        <f>IF(D46=0,"",C46/D46-1)</f>
        <v>-1</v>
      </c>
    </row>
    <row r="47" spans="1:6">
      <c r="A47" t="s">
        <v>292</v>
      </c>
      <c r="B47" t="s">
        <v>293</v>
      </c>
      <c r="C47" s="3">
        <v>0</v>
      </c>
      <c r="D47" s="3">
        <v>-571368</v>
      </c>
      <c r="E47" s="3">
        <f>C47-D47</f>
        <v>571368</v>
      </c>
      <c r="F47" s="4">
        <f>IF(D47=0,"",C47/D47-1)</f>
        <v>-1</v>
      </c>
    </row>
    <row r="48" spans="1:6">
      <c r="A48" t="s">
        <v>294</v>
      </c>
      <c r="B48" t="s">
        <v>295</v>
      </c>
      <c r="C48" s="3">
        <v>0</v>
      </c>
      <c r="D48" s="3">
        <v>0</v>
      </c>
      <c r="E48" s="3">
        <f>C48-D48</f>
        <v>0</v>
      </c>
      <c r="F48" s="4" t="str">
        <f>IF(D48=0,"",C48/D48-1)</f>
        <v/>
      </c>
    </row>
    <row r="49" spans="1:6">
      <c r="A49" s="1" t="s">
        <v>296</v>
      </c>
      <c r="B49" s="1" t="s">
        <v>297</v>
      </c>
      <c r="C49" s="5">
        <v>-156459</v>
      </c>
      <c r="D49" s="5">
        <v>-1187000</v>
      </c>
      <c r="E49" s="5">
        <f>C49-D49</f>
        <v>1030541</v>
      </c>
      <c r="F49" s="6">
        <f>IF(D49=0,"",C49/D49-1)</f>
        <v>-0.86818955349620897</v>
      </c>
    </row>
    <row r="50" spans="1:6">
      <c r="A50" t="s">
        <v>298</v>
      </c>
      <c r="B50" t="s">
        <v>299</v>
      </c>
      <c r="C50" s="3">
        <v>1942162</v>
      </c>
      <c r="D50" s="3">
        <v>3129162</v>
      </c>
      <c r="E50" s="3">
        <f>C50-D50</f>
        <v>-1187000</v>
      </c>
      <c r="F50" s="4">
        <f>IF(D50=0,"",C50/D50-1)</f>
        <v>-0.37933478675760479</v>
      </c>
    </row>
    <row r="51" spans="1:6">
      <c r="A51" t="s">
        <v>300</v>
      </c>
      <c r="B51" t="s">
        <v>301</v>
      </c>
      <c r="C51" s="3">
        <v>1785703</v>
      </c>
      <c r="D51" s="3">
        <v>1942162</v>
      </c>
      <c r="E51" s="3">
        <f>C51-D51</f>
        <v>-156459</v>
      </c>
      <c r="F51" s="4">
        <f>IF(D51=0,"",C51/D51-1)</f>
        <v>-8.0559191251811102E-2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pane ySplit="4" topLeftCell="E5" activePane="bottomLeft" state="frozen"/>
      <selection pane="bottomLeft" activeCell="K1" sqref="K1:K1048576"/>
    </sheetView>
  </sheetViews>
  <sheetFormatPr defaultRowHeight="15"/>
  <cols>
    <col min="1" max="1" width="17" customWidth="1"/>
    <col min="2" max="2" width="45" customWidth="1"/>
    <col min="3" max="3" width="20" customWidth="1"/>
    <col min="4" max="5" width="22" customWidth="1"/>
    <col min="6" max="6" width="20" customWidth="1"/>
    <col min="7" max="9" width="22" customWidth="1"/>
    <col min="10" max="10" width="24" customWidth="1"/>
  </cols>
  <sheetData>
    <row r="1" spans="1:10" ht="30" customHeight="1">
      <c r="A1" s="12" t="s">
        <v>302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4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6.1" customHeight="1">
      <c r="A4" s="2" t="s">
        <v>2</v>
      </c>
      <c r="B4" s="2" t="s">
        <v>303</v>
      </c>
      <c r="C4" s="2" t="s">
        <v>304</v>
      </c>
      <c r="D4" s="2" t="s">
        <v>305</v>
      </c>
      <c r="E4" s="2" t="s">
        <v>306</v>
      </c>
      <c r="F4" s="2" t="s">
        <v>307</v>
      </c>
      <c r="G4" s="2" t="s">
        <v>308</v>
      </c>
      <c r="H4" s="2" t="s">
        <v>309</v>
      </c>
      <c r="I4" s="2" t="s">
        <v>310</v>
      </c>
      <c r="J4" s="2" t="s">
        <v>311</v>
      </c>
    </row>
    <row r="5" spans="1:10">
      <c r="A5" s="1" t="s">
        <v>312</v>
      </c>
      <c r="B5" s="1" t="s">
        <v>313</v>
      </c>
      <c r="C5" s="5">
        <v>2962585</v>
      </c>
      <c r="D5" s="5">
        <v>-68362</v>
      </c>
      <c r="E5" s="5">
        <v>1715436</v>
      </c>
      <c r="F5" s="5">
        <v>0</v>
      </c>
      <c r="G5" s="5">
        <v>71693</v>
      </c>
      <c r="H5" s="5">
        <v>4681352</v>
      </c>
      <c r="I5" s="5">
        <v>305769</v>
      </c>
      <c r="J5" s="5">
        <v>4987121</v>
      </c>
    </row>
    <row r="6" spans="1:10">
      <c r="A6" t="s">
        <v>314</v>
      </c>
      <c r="B6" t="s">
        <v>315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>
      <c r="A7" s="1" t="s">
        <v>316</v>
      </c>
      <c r="B7" s="1" t="s">
        <v>317</v>
      </c>
      <c r="C7" s="5">
        <v>2962585</v>
      </c>
      <c r="D7" s="5">
        <v>-68362</v>
      </c>
      <c r="E7" s="5">
        <v>1715436</v>
      </c>
      <c r="F7" s="5">
        <v>0</v>
      </c>
      <c r="G7" s="5">
        <v>71693</v>
      </c>
      <c r="H7" s="5">
        <v>4681352</v>
      </c>
      <c r="I7" s="5">
        <v>305769</v>
      </c>
      <c r="J7" s="5">
        <v>4987121</v>
      </c>
    </row>
    <row r="8" spans="1:10">
      <c r="A8" t="s">
        <v>318</v>
      </c>
      <c r="B8" t="s">
        <v>319</v>
      </c>
      <c r="C8" s="3">
        <v>0</v>
      </c>
      <c r="D8" s="3">
        <v>-98983</v>
      </c>
      <c r="E8" s="3">
        <v>0</v>
      </c>
      <c r="F8" s="3">
        <v>-358213</v>
      </c>
      <c r="G8" s="3">
        <v>0</v>
      </c>
      <c r="H8" s="3">
        <v>-457196</v>
      </c>
      <c r="I8" s="3">
        <v>3407</v>
      </c>
      <c r="J8" s="3">
        <v>-453789</v>
      </c>
    </row>
    <row r="9" spans="1:10">
      <c r="A9" t="s">
        <v>320</v>
      </c>
      <c r="B9" t="s">
        <v>321</v>
      </c>
      <c r="C9" s="3">
        <v>0</v>
      </c>
      <c r="D9" s="3">
        <v>0</v>
      </c>
      <c r="E9" s="3">
        <v>0</v>
      </c>
      <c r="F9" s="3">
        <v>-358213</v>
      </c>
      <c r="G9" s="3">
        <v>0</v>
      </c>
      <c r="H9" s="3">
        <v>-358213</v>
      </c>
      <c r="I9" s="3">
        <v>0</v>
      </c>
      <c r="J9" s="3">
        <v>-358213</v>
      </c>
    </row>
    <row r="10" spans="1:10">
      <c r="A10" t="s">
        <v>322</v>
      </c>
      <c r="B10" t="s">
        <v>323</v>
      </c>
      <c r="C10" s="3">
        <v>0</v>
      </c>
      <c r="D10" s="3">
        <v>71184</v>
      </c>
      <c r="E10" s="3">
        <v>0</v>
      </c>
      <c r="F10" s="3">
        <v>0</v>
      </c>
      <c r="G10" s="3">
        <v>0</v>
      </c>
      <c r="H10" s="3">
        <v>71184</v>
      </c>
      <c r="I10" s="3">
        <v>0</v>
      </c>
      <c r="J10" s="3">
        <v>71184</v>
      </c>
    </row>
    <row r="11" spans="1:10">
      <c r="A11" t="s">
        <v>324</v>
      </c>
      <c r="B11" t="s">
        <v>325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3407</v>
      </c>
      <c r="J11" s="3">
        <v>3407</v>
      </c>
    </row>
    <row r="12" spans="1:10">
      <c r="A12" t="s">
        <v>326</v>
      </c>
      <c r="B12" t="s">
        <v>327</v>
      </c>
      <c r="C12" s="3">
        <v>0</v>
      </c>
      <c r="D12" s="3">
        <v>-170167</v>
      </c>
      <c r="E12" s="3">
        <v>0</v>
      </c>
      <c r="F12" s="3">
        <v>0</v>
      </c>
      <c r="G12" s="3">
        <v>0</v>
      </c>
      <c r="H12" s="3">
        <v>-170167</v>
      </c>
      <c r="I12" s="3">
        <v>0</v>
      </c>
      <c r="J12" s="3">
        <v>-170167</v>
      </c>
    </row>
    <row r="13" spans="1:10">
      <c r="A13" t="s">
        <v>328</v>
      </c>
      <c r="B13" t="s">
        <v>329</v>
      </c>
      <c r="C13" s="3">
        <v>0</v>
      </c>
      <c r="D13" s="3">
        <v>0</v>
      </c>
      <c r="E13" s="3">
        <v>0</v>
      </c>
      <c r="F13" s="3">
        <v>891741</v>
      </c>
      <c r="G13" s="3">
        <v>-10617</v>
      </c>
      <c r="H13" s="3">
        <v>881124</v>
      </c>
      <c r="I13" s="3">
        <v>29001</v>
      </c>
      <c r="J13" s="3">
        <v>910125</v>
      </c>
    </row>
    <row r="14" spans="1:10">
      <c r="A14" t="s">
        <v>330</v>
      </c>
      <c r="B14" t="s">
        <v>331</v>
      </c>
      <c r="C14" s="3">
        <v>0</v>
      </c>
      <c r="D14" s="3">
        <v>0</v>
      </c>
      <c r="E14" s="3">
        <v>0</v>
      </c>
      <c r="F14" s="3">
        <v>891741</v>
      </c>
      <c r="G14" s="3">
        <v>0</v>
      </c>
      <c r="H14" s="3">
        <v>891741</v>
      </c>
      <c r="I14" s="3">
        <v>29001</v>
      </c>
      <c r="J14" s="3">
        <v>920742</v>
      </c>
    </row>
    <row r="15" spans="1:10">
      <c r="A15" t="s">
        <v>332</v>
      </c>
      <c r="B15" t="s">
        <v>202</v>
      </c>
      <c r="C15" s="3">
        <v>0</v>
      </c>
      <c r="D15" s="3">
        <v>0</v>
      </c>
      <c r="E15" s="3">
        <v>0</v>
      </c>
      <c r="F15" s="3">
        <v>0</v>
      </c>
      <c r="G15" s="3">
        <v>-10617</v>
      </c>
      <c r="H15" s="3">
        <v>-10617</v>
      </c>
      <c r="I15" s="3">
        <v>0</v>
      </c>
      <c r="J15" s="3">
        <v>-10617</v>
      </c>
    </row>
    <row r="16" spans="1:10">
      <c r="A16" t="s">
        <v>333</v>
      </c>
      <c r="B16" t="s">
        <v>334</v>
      </c>
      <c r="C16" s="3">
        <v>0</v>
      </c>
      <c r="D16" s="3">
        <v>0</v>
      </c>
      <c r="E16" s="3">
        <v>0</v>
      </c>
      <c r="F16" s="3">
        <v>0</v>
      </c>
      <c r="G16" s="3">
        <v>-10981</v>
      </c>
      <c r="H16" s="3">
        <v>-10981</v>
      </c>
      <c r="I16" s="3">
        <v>0</v>
      </c>
      <c r="J16" s="3">
        <v>-10981</v>
      </c>
    </row>
    <row r="17" spans="1:10">
      <c r="A17" t="s">
        <v>335</v>
      </c>
      <c r="B17" t="s">
        <v>336</v>
      </c>
      <c r="C17" s="3">
        <v>0</v>
      </c>
      <c r="D17" s="3">
        <v>0</v>
      </c>
      <c r="E17" s="3">
        <v>0</v>
      </c>
      <c r="F17" s="3">
        <v>0</v>
      </c>
      <c r="G17" s="3">
        <v>364</v>
      </c>
      <c r="H17" s="3">
        <v>364</v>
      </c>
      <c r="I17" s="3">
        <v>0</v>
      </c>
      <c r="J17" s="3">
        <v>364</v>
      </c>
    </row>
    <row r="18" spans="1:10">
      <c r="A18" t="s">
        <v>337</v>
      </c>
      <c r="B18" t="s">
        <v>338</v>
      </c>
      <c r="C18" s="3">
        <v>0</v>
      </c>
      <c r="D18" s="3">
        <v>0</v>
      </c>
      <c r="E18" s="3">
        <v>533528</v>
      </c>
      <c r="F18" s="3">
        <v>-533528</v>
      </c>
      <c r="G18" s="3">
        <v>0</v>
      </c>
      <c r="H18" s="3">
        <v>0</v>
      </c>
      <c r="I18" s="3">
        <v>0</v>
      </c>
      <c r="J18" s="3">
        <v>0</v>
      </c>
    </row>
    <row r="19" spans="1:10">
      <c r="A19" t="s">
        <v>339</v>
      </c>
      <c r="B19" t="s">
        <v>340</v>
      </c>
      <c r="C19" s="3">
        <v>0</v>
      </c>
      <c r="D19" s="3">
        <v>0</v>
      </c>
      <c r="E19" s="3">
        <v>533528</v>
      </c>
      <c r="F19" s="3">
        <v>-533528</v>
      </c>
      <c r="G19" s="3">
        <v>0</v>
      </c>
      <c r="H19" s="3">
        <v>0</v>
      </c>
      <c r="I19" s="3">
        <v>0</v>
      </c>
      <c r="J19" s="3">
        <v>0</v>
      </c>
    </row>
    <row r="20" spans="1:10">
      <c r="A20" s="1" t="s">
        <v>341</v>
      </c>
      <c r="B20" s="1" t="s">
        <v>342</v>
      </c>
      <c r="C20" s="5">
        <v>2962585</v>
      </c>
      <c r="D20" s="5">
        <v>-167345</v>
      </c>
      <c r="E20" s="5">
        <v>2248964</v>
      </c>
      <c r="F20" s="5">
        <v>0</v>
      </c>
      <c r="G20" s="5">
        <v>61076</v>
      </c>
      <c r="H20" s="5">
        <v>5105280</v>
      </c>
      <c r="I20" s="5">
        <v>338177</v>
      </c>
      <c r="J20" s="5">
        <v>5443457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pane ySplit="4" topLeftCell="A5" activePane="bottomLeft" state="frozen"/>
      <selection pane="bottomLeft" activeCell="K1" sqref="K1:K1048576"/>
    </sheetView>
  </sheetViews>
  <sheetFormatPr defaultRowHeight="15"/>
  <cols>
    <col min="1" max="1" width="17" customWidth="1"/>
    <col min="2" max="2" width="45" customWidth="1"/>
    <col min="3" max="3" width="20" customWidth="1"/>
    <col min="4" max="5" width="22" customWidth="1"/>
    <col min="6" max="6" width="20" customWidth="1"/>
    <col min="7" max="9" width="22" customWidth="1"/>
    <col min="10" max="10" width="24" customWidth="1"/>
  </cols>
  <sheetData>
    <row r="1" spans="1:10" ht="30" customHeight="1">
      <c r="A1" s="12" t="s">
        <v>343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4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6.1" customHeight="1">
      <c r="A4" s="2" t="s">
        <v>2</v>
      </c>
      <c r="B4" s="2" t="s">
        <v>303</v>
      </c>
      <c r="C4" s="2" t="s">
        <v>304</v>
      </c>
      <c r="D4" s="2" t="s">
        <v>305</v>
      </c>
      <c r="E4" s="2" t="s">
        <v>306</v>
      </c>
      <c r="F4" s="2" t="s">
        <v>307</v>
      </c>
      <c r="G4" s="2" t="s">
        <v>308</v>
      </c>
      <c r="H4" s="2" t="s">
        <v>309</v>
      </c>
      <c r="I4" s="2" t="s">
        <v>310</v>
      </c>
      <c r="J4" s="2" t="s">
        <v>311</v>
      </c>
    </row>
    <row r="5" spans="1:10">
      <c r="A5" s="1" t="s">
        <v>312</v>
      </c>
      <c r="B5" s="1" t="s">
        <v>313</v>
      </c>
      <c r="C5" s="5">
        <v>2962585</v>
      </c>
      <c r="D5" s="5">
        <v>454848</v>
      </c>
      <c r="E5" s="5">
        <v>1262719</v>
      </c>
      <c r="F5" s="5">
        <v>0</v>
      </c>
      <c r="G5" s="5">
        <v>40422</v>
      </c>
      <c r="H5" s="5">
        <v>4720574</v>
      </c>
      <c r="I5" s="5">
        <v>292097</v>
      </c>
      <c r="J5" s="5">
        <v>5012671</v>
      </c>
    </row>
    <row r="6" spans="1:10">
      <c r="A6" t="s">
        <v>314</v>
      </c>
      <c r="B6" t="s">
        <v>315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>
      <c r="A7" s="1" t="s">
        <v>316</v>
      </c>
      <c r="B7" s="1" t="s">
        <v>317</v>
      </c>
      <c r="C7" s="5">
        <v>2962585</v>
      </c>
      <c r="D7" s="5">
        <v>454848</v>
      </c>
      <c r="E7" s="5">
        <v>1262719</v>
      </c>
      <c r="F7" s="5">
        <v>0</v>
      </c>
      <c r="G7" s="5">
        <v>40422</v>
      </c>
      <c r="H7" s="5">
        <v>4720574</v>
      </c>
      <c r="I7" s="5">
        <v>292097</v>
      </c>
      <c r="J7" s="5">
        <v>5012671</v>
      </c>
    </row>
    <row r="8" spans="1:10">
      <c r="A8" t="s">
        <v>318</v>
      </c>
      <c r="B8" t="s">
        <v>319</v>
      </c>
      <c r="C8" s="3">
        <v>0</v>
      </c>
      <c r="D8" s="3">
        <v>-523210</v>
      </c>
      <c r="E8" s="3">
        <v>911</v>
      </c>
      <c r="F8" s="3">
        <v>-265707</v>
      </c>
      <c r="G8" s="3">
        <v>0</v>
      </c>
      <c r="H8" s="3">
        <v>-788006</v>
      </c>
      <c r="I8" s="3">
        <v>-4258</v>
      </c>
      <c r="J8" s="3">
        <v>-792264</v>
      </c>
    </row>
    <row r="9" spans="1:10">
      <c r="A9" t="s">
        <v>344</v>
      </c>
      <c r="B9" t="s">
        <v>345</v>
      </c>
      <c r="C9" s="3">
        <v>0</v>
      </c>
      <c r="D9" s="3">
        <v>-571368</v>
      </c>
      <c r="E9" s="3">
        <v>0</v>
      </c>
      <c r="F9" s="3">
        <v>0</v>
      </c>
      <c r="G9" s="3">
        <v>0</v>
      </c>
      <c r="H9" s="3">
        <v>-571368</v>
      </c>
      <c r="I9" s="3">
        <v>0</v>
      </c>
      <c r="J9" s="3">
        <v>-571368</v>
      </c>
    </row>
    <row r="10" spans="1:10">
      <c r="A10" t="s">
        <v>320</v>
      </c>
      <c r="B10" t="s">
        <v>321</v>
      </c>
      <c r="C10" s="3">
        <v>0</v>
      </c>
      <c r="D10" s="3">
        <v>0</v>
      </c>
      <c r="E10" s="3">
        <v>0</v>
      </c>
      <c r="F10" s="3">
        <v>-265707</v>
      </c>
      <c r="G10" s="3">
        <v>0</v>
      </c>
      <c r="H10" s="3">
        <v>-265707</v>
      </c>
      <c r="I10" s="3">
        <v>0</v>
      </c>
      <c r="J10" s="3">
        <v>-265707</v>
      </c>
    </row>
    <row r="11" spans="1:10">
      <c r="A11" t="s">
        <v>322</v>
      </c>
      <c r="B11" t="s">
        <v>323</v>
      </c>
      <c r="C11" s="3">
        <v>0</v>
      </c>
      <c r="D11" s="3">
        <v>48158</v>
      </c>
      <c r="E11" s="3">
        <v>0</v>
      </c>
      <c r="F11" s="3">
        <v>0</v>
      </c>
      <c r="G11" s="3">
        <v>0</v>
      </c>
      <c r="H11" s="3">
        <v>48158</v>
      </c>
      <c r="I11" s="3">
        <v>0</v>
      </c>
      <c r="J11" s="3">
        <v>48158</v>
      </c>
    </row>
    <row r="12" spans="1:10">
      <c r="A12" t="s">
        <v>346</v>
      </c>
      <c r="B12" t="s">
        <v>347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-4258</v>
      </c>
      <c r="J12" s="3">
        <v>-4258</v>
      </c>
    </row>
    <row r="13" spans="1:10">
      <c r="A13" t="s">
        <v>324</v>
      </c>
      <c r="B13" t="s">
        <v>325</v>
      </c>
      <c r="C13" s="3">
        <v>0</v>
      </c>
      <c r="D13" s="3">
        <v>0</v>
      </c>
      <c r="E13" s="3">
        <v>911</v>
      </c>
      <c r="F13" s="3">
        <v>0</v>
      </c>
      <c r="G13" s="3">
        <v>0</v>
      </c>
      <c r="H13" s="3">
        <v>911</v>
      </c>
      <c r="I13" s="3">
        <v>0</v>
      </c>
      <c r="J13" s="3">
        <v>911</v>
      </c>
    </row>
    <row r="14" spans="1:10">
      <c r="A14" t="s">
        <v>328</v>
      </c>
      <c r="B14" t="s">
        <v>329</v>
      </c>
      <c r="C14" s="3">
        <v>0</v>
      </c>
      <c r="D14" s="3">
        <v>0</v>
      </c>
      <c r="E14" s="3">
        <v>0</v>
      </c>
      <c r="F14" s="3">
        <v>717513</v>
      </c>
      <c r="G14" s="3">
        <v>31271</v>
      </c>
      <c r="H14" s="3">
        <v>748784</v>
      </c>
      <c r="I14" s="3">
        <v>17930</v>
      </c>
      <c r="J14" s="3">
        <v>766714</v>
      </c>
    </row>
    <row r="15" spans="1:10">
      <c r="A15" t="s">
        <v>330</v>
      </c>
      <c r="B15" t="s">
        <v>331</v>
      </c>
      <c r="C15" s="3">
        <v>0</v>
      </c>
      <c r="D15" s="3">
        <v>0</v>
      </c>
      <c r="E15" s="3">
        <v>0</v>
      </c>
      <c r="F15" s="3">
        <v>717513</v>
      </c>
      <c r="G15" s="3">
        <v>0</v>
      </c>
      <c r="H15" s="3">
        <v>717513</v>
      </c>
      <c r="I15" s="3">
        <v>17930</v>
      </c>
      <c r="J15" s="3">
        <v>735443</v>
      </c>
    </row>
    <row r="16" spans="1:10">
      <c r="A16" t="s">
        <v>332</v>
      </c>
      <c r="B16" t="s">
        <v>202</v>
      </c>
      <c r="C16" s="3">
        <v>0</v>
      </c>
      <c r="D16" s="3">
        <v>0</v>
      </c>
      <c r="E16" s="3">
        <v>0</v>
      </c>
      <c r="F16" s="3">
        <v>0</v>
      </c>
      <c r="G16" s="3">
        <v>31271</v>
      </c>
      <c r="H16" s="3">
        <v>31271</v>
      </c>
      <c r="I16" s="3">
        <v>0</v>
      </c>
      <c r="J16" s="3">
        <v>31271</v>
      </c>
    </row>
    <row r="17" spans="1:10">
      <c r="A17" t="s">
        <v>333</v>
      </c>
      <c r="B17" t="s">
        <v>334</v>
      </c>
      <c r="C17" s="3">
        <v>0</v>
      </c>
      <c r="D17" s="3">
        <v>0</v>
      </c>
      <c r="E17" s="3">
        <v>0</v>
      </c>
      <c r="F17" s="3">
        <v>0</v>
      </c>
      <c r="G17" s="3">
        <v>31647</v>
      </c>
      <c r="H17" s="3">
        <v>31647</v>
      </c>
      <c r="I17" s="3">
        <v>0</v>
      </c>
      <c r="J17" s="3">
        <v>31647</v>
      </c>
    </row>
    <row r="18" spans="1:10">
      <c r="A18" t="s">
        <v>335</v>
      </c>
      <c r="B18" t="s">
        <v>336</v>
      </c>
      <c r="C18" s="3">
        <v>0</v>
      </c>
      <c r="D18" s="3">
        <v>0</v>
      </c>
      <c r="E18" s="3">
        <v>0</v>
      </c>
      <c r="F18" s="3">
        <v>0</v>
      </c>
      <c r="G18" s="3">
        <v>-376</v>
      </c>
      <c r="H18" s="3">
        <v>-376</v>
      </c>
      <c r="I18" s="3">
        <v>0</v>
      </c>
      <c r="J18" s="3">
        <v>-376</v>
      </c>
    </row>
    <row r="19" spans="1:10">
      <c r="A19" t="s">
        <v>337</v>
      </c>
      <c r="B19" t="s">
        <v>338</v>
      </c>
      <c r="C19" s="3">
        <v>0</v>
      </c>
      <c r="D19" s="3">
        <v>0</v>
      </c>
      <c r="E19" s="3">
        <v>451806</v>
      </c>
      <c r="F19" s="3">
        <v>-451806</v>
      </c>
      <c r="G19" s="3">
        <v>0</v>
      </c>
      <c r="H19" s="3">
        <v>0</v>
      </c>
      <c r="I19" s="3">
        <v>0</v>
      </c>
      <c r="J19" s="3">
        <v>0</v>
      </c>
    </row>
    <row r="20" spans="1:10">
      <c r="A20" t="s">
        <v>339</v>
      </c>
      <c r="B20" t="s">
        <v>340</v>
      </c>
      <c r="C20" s="3">
        <v>0</v>
      </c>
      <c r="D20" s="3">
        <v>0</v>
      </c>
      <c r="E20" s="3">
        <v>451806</v>
      </c>
      <c r="F20" s="3">
        <v>-451806</v>
      </c>
      <c r="G20" s="3">
        <v>0</v>
      </c>
      <c r="H20" s="3">
        <v>0</v>
      </c>
      <c r="I20" s="3">
        <v>0</v>
      </c>
      <c r="J20" s="3">
        <v>0</v>
      </c>
    </row>
    <row r="21" spans="1:10">
      <c r="A21" s="1" t="s">
        <v>341</v>
      </c>
      <c r="B21" s="1" t="s">
        <v>342</v>
      </c>
      <c r="C21" s="5">
        <v>2962585</v>
      </c>
      <c r="D21" s="5">
        <v>-68362</v>
      </c>
      <c r="E21" s="5">
        <v>1715436</v>
      </c>
      <c r="F21" s="5">
        <v>0</v>
      </c>
      <c r="G21" s="5">
        <v>71693</v>
      </c>
      <c r="H21" s="5">
        <v>4681352</v>
      </c>
      <c r="I21" s="5">
        <v>305769</v>
      </c>
      <c r="J21" s="5">
        <v>4987121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4" topLeftCell="A9" activePane="bottomLeft" state="frozen"/>
      <selection pane="bottomLeft" activeCell="B16" sqref="B16"/>
    </sheetView>
  </sheetViews>
  <sheetFormatPr defaultRowHeight="15"/>
  <cols>
    <col min="1" max="1" width="21.5" customWidth="1"/>
    <col min="2" max="2" width="44" customWidth="1"/>
    <col min="3" max="3" width="24" customWidth="1"/>
    <col min="4" max="4" width="19" customWidth="1"/>
    <col min="5" max="5" width="24" customWidth="1"/>
    <col min="6" max="6" width="19" customWidth="1"/>
  </cols>
  <sheetData>
    <row r="1" spans="1:6" ht="30" customHeight="1">
      <c r="A1" s="12" t="s">
        <v>348</v>
      </c>
      <c r="B1" s="12"/>
      <c r="C1" s="12"/>
      <c r="D1" s="12"/>
      <c r="E1" s="12"/>
      <c r="F1" s="12"/>
    </row>
    <row r="2" spans="1:6" ht="24" customHeight="1">
      <c r="A2" s="13" t="s">
        <v>1</v>
      </c>
      <c r="B2" s="13"/>
      <c r="C2" s="13"/>
      <c r="D2" s="13"/>
      <c r="E2" s="13"/>
      <c r="F2" s="13"/>
    </row>
    <row r="4" spans="1:6" ht="26.1" customHeight="1">
      <c r="A4" s="2" t="s">
        <v>2</v>
      </c>
      <c r="B4" s="2" t="s">
        <v>349</v>
      </c>
      <c r="C4" s="2" t="s">
        <v>350</v>
      </c>
      <c r="D4" s="2" t="s">
        <v>351</v>
      </c>
      <c r="E4" s="2" t="s">
        <v>352</v>
      </c>
      <c r="F4" s="2" t="s">
        <v>7</v>
      </c>
    </row>
    <row r="5" spans="1:6">
      <c r="A5" t="s">
        <v>12</v>
      </c>
      <c r="B5" t="s">
        <v>353</v>
      </c>
      <c r="C5" s="3">
        <f>BP_Ativo!C7</f>
        <v>1785703</v>
      </c>
      <c r="D5" s="4">
        <f>C5/BP_Ativo!C5</f>
        <v>0.18891987882995345</v>
      </c>
      <c r="E5" s="3">
        <f>BP_Ativo!D7</f>
        <v>1942162</v>
      </c>
      <c r="F5" s="4">
        <f>IF(E5=0,"",C5/E5-1)</f>
        <v>-8.0559191251811102E-2</v>
      </c>
    </row>
    <row r="6" spans="1:6">
      <c r="A6" t="s">
        <v>14</v>
      </c>
      <c r="B6" t="s">
        <v>354</v>
      </c>
      <c r="C6" s="3">
        <f>BP_Ativo!C8</f>
        <v>639136</v>
      </c>
      <c r="D6" s="4">
        <f>C6/BP_Ativo!C5</f>
        <v>6.761790492364135E-2</v>
      </c>
      <c r="E6" s="3">
        <f>BP_Ativo!D8</f>
        <v>563328</v>
      </c>
      <c r="F6" s="4">
        <f>IF(E6=0,"",C6/E6-1)</f>
        <v>0.13457168825266974</v>
      </c>
    </row>
    <row r="7" spans="1:6">
      <c r="A7" t="s">
        <v>18</v>
      </c>
      <c r="B7" t="s">
        <v>355</v>
      </c>
      <c r="C7" s="3">
        <f>BP_Ativo!C10</f>
        <v>53840</v>
      </c>
      <c r="D7" s="4">
        <f>C7/BP_Ativo!C5</f>
        <v>5.6960459136848034E-3</v>
      </c>
      <c r="E7" s="3">
        <f>BP_Ativo!D10</f>
        <v>83519</v>
      </c>
      <c r="F7" s="4">
        <f>IF(E7=0,"",C7/E7-1)</f>
        <v>-0.35535626623881988</v>
      </c>
    </row>
    <row r="8" spans="1:6">
      <c r="A8" t="s">
        <v>22</v>
      </c>
      <c r="B8" t="s">
        <v>356</v>
      </c>
      <c r="C8" s="3">
        <f>BP_Ativo!C12</f>
        <v>1397091</v>
      </c>
      <c r="D8" s="4">
        <f>C8/BP_Ativo!C5</f>
        <v>0.14780636109947651</v>
      </c>
      <c r="E8" s="3">
        <f>BP_Ativo!D12</f>
        <v>174549</v>
      </c>
      <c r="F8" s="4">
        <f>IF(E8=0,"",C8/E8-1)</f>
        <v>7.0040046061564372</v>
      </c>
    </row>
    <row r="9" spans="1:6">
      <c r="A9" t="s">
        <v>30</v>
      </c>
      <c r="B9" t="s">
        <v>357</v>
      </c>
      <c r="C9" s="3">
        <f>BP_Ativo!C16</f>
        <v>828204</v>
      </c>
      <c r="D9" s="4">
        <f>C9/BP_Ativo!C5</f>
        <v>8.7620505384424383E-2</v>
      </c>
      <c r="E9" s="3">
        <f>BP_Ativo!D16</f>
        <v>785927</v>
      </c>
      <c r="F9" s="4">
        <f>IF(E9=0,"",C9/E9-1)</f>
        <v>5.3792527804745305E-2</v>
      </c>
    </row>
    <row r="10" spans="1:6">
      <c r="A10" t="s">
        <v>39</v>
      </c>
      <c r="B10" t="s">
        <v>40</v>
      </c>
      <c r="C10" s="3">
        <f>BP_Ativo!C21</f>
        <v>290754</v>
      </c>
      <c r="D10" s="4">
        <f>C10/BP_Ativo!C5</f>
        <v>3.0760552258311872E-2</v>
      </c>
      <c r="E10" s="3">
        <f>BP_Ativo!D21</f>
        <v>321796</v>
      </c>
      <c r="F10" s="4">
        <f>IF(E10=0,"",C10/E10-1)</f>
        <v>-9.6464841079441643E-2</v>
      </c>
    </row>
    <row r="11" spans="1:6">
      <c r="A11" t="s">
        <v>43</v>
      </c>
      <c r="B11" t="s">
        <v>44</v>
      </c>
      <c r="C11" s="3">
        <f>BP_Ativo!C23</f>
        <v>553190</v>
      </c>
      <c r="D11" s="4">
        <f>C11/BP_Ativo!C5</f>
        <v>5.8525179030298968E-2</v>
      </c>
      <c r="E11" s="3">
        <f>BP_Ativo!D23</f>
        <v>399215</v>
      </c>
      <c r="F11" s="4">
        <f>IF(E11=0,"",C11/E11-1)</f>
        <v>0.38569442530967013</v>
      </c>
    </row>
    <row r="12" spans="1:6">
      <c r="A12" t="s">
        <v>49</v>
      </c>
      <c r="B12" t="s">
        <v>358</v>
      </c>
      <c r="C12" s="3">
        <f>BP_Ativo!C26</f>
        <v>3904253</v>
      </c>
      <c r="D12" s="4">
        <f>C12/BP_Ativo!C5</f>
        <v>0.41305357256020864</v>
      </c>
      <c r="E12" s="3">
        <f>BP_Ativo!D26</f>
        <v>4261225</v>
      </c>
      <c r="F12" s="4">
        <f>IF(E12=0,"",C12/E12-1)</f>
        <v>-8.3772154720766934E-2</v>
      </c>
    </row>
    <row r="13" spans="1:6">
      <c r="A13" t="s">
        <v>359</v>
      </c>
      <c r="B13" t="s">
        <v>360</v>
      </c>
      <c r="C13" s="3">
        <f>SUM(C5:C12)-BP_Ativo!C5</f>
        <v>0</v>
      </c>
      <c r="D13" s="4">
        <f>SUM(D5:D12)</f>
        <v>1</v>
      </c>
    </row>
    <row r="15" spans="1:6">
      <c r="A15" s="1" t="s">
        <v>361</v>
      </c>
      <c r="B15" s="1" t="s">
        <v>362</v>
      </c>
      <c r="C15" s="1"/>
      <c r="D15" s="1"/>
      <c r="E15" s="1"/>
      <c r="F15" s="1"/>
    </row>
    <row r="16" spans="1:6">
      <c r="A16" s="1" t="s">
        <v>363</v>
      </c>
      <c r="B16" s="1" t="s">
        <v>364</v>
      </c>
      <c r="C16" s="1"/>
      <c r="D16" s="1"/>
      <c r="E16" s="1"/>
      <c r="F16" s="1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pane ySplit="4" topLeftCell="A5" activePane="bottomLeft" state="frozen"/>
      <selection pane="bottomLeft" activeCell="C5" sqref="C5"/>
    </sheetView>
  </sheetViews>
  <sheetFormatPr defaultRowHeight="15"/>
  <cols>
    <col min="1" max="1" width="37" customWidth="1"/>
    <col min="2" max="2" width="44" customWidth="1"/>
    <col min="3" max="4" width="19" customWidth="1"/>
    <col min="5" max="5" width="48" customWidth="1"/>
  </cols>
  <sheetData>
    <row r="1" spans="1:5" ht="30" customHeight="1">
      <c r="A1" s="12" t="s">
        <v>365</v>
      </c>
      <c r="B1" s="12"/>
      <c r="C1" s="12"/>
      <c r="D1" s="12"/>
      <c r="E1" s="12"/>
    </row>
    <row r="2" spans="1:5" ht="24" customHeight="1">
      <c r="A2" s="13" t="s">
        <v>1</v>
      </c>
      <c r="B2" s="13"/>
      <c r="C2" s="13"/>
      <c r="D2" s="13"/>
      <c r="E2" s="13"/>
    </row>
    <row r="4" spans="1:5" ht="26.1" customHeight="1">
      <c r="A4" s="2" t="s">
        <v>366</v>
      </c>
      <c r="B4" s="2" t="s">
        <v>367</v>
      </c>
      <c r="C4" s="2" t="s">
        <v>368</v>
      </c>
      <c r="D4" s="2" t="s">
        <v>369</v>
      </c>
      <c r="E4" s="2" t="s">
        <v>370</v>
      </c>
    </row>
    <row r="5" spans="1:5">
      <c r="A5" t="s">
        <v>371</v>
      </c>
      <c r="B5" t="s">
        <v>372</v>
      </c>
      <c r="C5" s="7">
        <f>BP_Ativo!C6/BP_Passivo!C6</f>
        <v>1.9592189349830302</v>
      </c>
      <c r="D5" s="7">
        <f>BP_Ativo!D6/BP_Passivo!D6</f>
        <v>2.4152816341941117</v>
      </c>
      <c r="E5" t="s">
        <v>373</v>
      </c>
    </row>
    <row r="6" spans="1:5">
      <c r="A6" t="s">
        <v>374</v>
      </c>
      <c r="B6" t="s">
        <v>375</v>
      </c>
      <c r="C6" s="4">
        <f>(BP_Passivo!C6+BP_Passivo!C25)/BP_Passivo!C25</f>
        <v>1.9742574706031839</v>
      </c>
      <c r="D6" s="4">
        <f>(BP_Passivo!D6+BP_Passivo!D25)/BP_Passivo!D25</f>
        <v>1.4766687093792168</v>
      </c>
      <c r="E6" t="s">
        <v>373</v>
      </c>
    </row>
    <row r="7" spans="1:5">
      <c r="A7" t="s">
        <v>376</v>
      </c>
      <c r="B7" t="s">
        <v>377</v>
      </c>
      <c r="C7" s="4">
        <f>DRE!C32/DRE!C5</f>
        <v>0.15952238677710348</v>
      </c>
      <c r="D7" s="4">
        <f>DRE!D32/DRE!D5</f>
        <v>0.14964005268226421</v>
      </c>
      <c r="E7" t="s">
        <v>373</v>
      </c>
    </row>
    <row r="8" spans="1:5">
      <c r="A8" t="s">
        <v>378</v>
      </c>
      <c r="B8" t="s">
        <v>379</v>
      </c>
      <c r="C8" s="4">
        <f>DRE!C18/DRE!C5</f>
        <v>0.19451730263361924</v>
      </c>
      <c r="D8" s="4">
        <f>DRE!D18/DRE!D5</f>
        <v>0.17335236177976202</v>
      </c>
      <c r="E8" t="s">
        <v>373</v>
      </c>
    </row>
    <row r="9" spans="1:5">
      <c r="A9" t="s">
        <v>380</v>
      </c>
      <c r="B9" t="s">
        <v>380</v>
      </c>
      <c r="C9" s="4">
        <f>DFC!C5/DRE!C5</f>
        <v>0.20845646651248201</v>
      </c>
      <c r="D9" s="4">
        <f>DFC!D5/DRE!D5</f>
        <v>0.21018070716559775</v>
      </c>
      <c r="E9" t="s">
        <v>373</v>
      </c>
    </row>
    <row r="10" spans="1:5">
      <c r="A10" t="s">
        <v>381</v>
      </c>
      <c r="B10" t="s">
        <v>382</v>
      </c>
      <c r="C10" s="4">
        <f>BP_Ativo!C26/BP_Ativo!C5</f>
        <v>0.41305357256020864</v>
      </c>
      <c r="D10" s="4">
        <f>BP_Ativo!D26/BP_Ativo!D5</f>
        <v>0.49945667468497856</v>
      </c>
      <c r="E10" t="s">
        <v>373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pane ySplit="4" topLeftCell="A5" activePane="bottomLeft" state="frozen"/>
      <selection pane="bottomLeft" activeCell="A14" sqref="A14"/>
    </sheetView>
  </sheetViews>
  <sheetFormatPr defaultRowHeight="15"/>
  <cols>
    <col min="1" max="1" width="41" customWidth="1"/>
    <col min="2" max="2" width="23" customWidth="1"/>
    <col min="3" max="3" width="58" customWidth="1"/>
  </cols>
  <sheetData>
    <row r="1" spans="1:4" ht="30" customHeight="1">
      <c r="A1" s="12" t="s">
        <v>383</v>
      </c>
      <c r="B1" s="12"/>
      <c r="C1" s="12"/>
    </row>
    <row r="2" spans="1:4" ht="24" customHeight="1">
      <c r="A2" s="13" t="s">
        <v>1</v>
      </c>
      <c r="B2" s="13"/>
      <c r="C2" s="13"/>
    </row>
    <row r="4" spans="1:4" ht="26.1" customHeight="1">
      <c r="A4" s="2" t="s">
        <v>384</v>
      </c>
      <c r="B4" s="2" t="s">
        <v>385</v>
      </c>
      <c r="C4" s="2" t="s">
        <v>386</v>
      </c>
    </row>
    <row r="5" spans="1:4">
      <c r="A5" t="s">
        <v>387</v>
      </c>
      <c r="B5" s="3">
        <f>DRE!C22</f>
        <v>1041978</v>
      </c>
      <c r="C5" t="s">
        <v>388</v>
      </c>
    </row>
    <row r="6" spans="1:4">
      <c r="A6" t="s">
        <v>389</v>
      </c>
      <c r="B6" s="3">
        <f>DRE!C5</f>
        <v>5771867</v>
      </c>
      <c r="C6" t="s">
        <v>390</v>
      </c>
    </row>
    <row r="7" spans="1:4">
      <c r="A7" t="s">
        <v>391</v>
      </c>
      <c r="B7" s="3">
        <f>BP_Ativo!C5</f>
        <v>9452171</v>
      </c>
      <c r="C7" t="s">
        <v>390</v>
      </c>
    </row>
    <row r="8" spans="1:4">
      <c r="A8" s="8" t="s">
        <v>392</v>
      </c>
      <c r="B8" s="9">
        <f>B5</f>
        <v>1041978</v>
      </c>
      <c r="C8" s="8" t="s">
        <v>393</v>
      </c>
    </row>
    <row r="9" spans="1:4">
      <c r="A9" s="8" t="s">
        <v>394</v>
      </c>
      <c r="B9" s="10">
        <v>0.05</v>
      </c>
      <c r="C9" s="8" t="s">
        <v>395</v>
      </c>
    </row>
    <row r="10" spans="1:4">
      <c r="A10" t="s">
        <v>396</v>
      </c>
      <c r="B10" s="3">
        <f>IF(OR(B8="",B9=""),"",B8*B9)</f>
        <v>52098.9</v>
      </c>
      <c r="C10" t="s">
        <v>397</v>
      </c>
      <c r="D10" s="11"/>
    </row>
    <row r="11" spans="1:4">
      <c r="A11" s="8" t="s">
        <v>398</v>
      </c>
      <c r="B11" s="10">
        <v>0.7</v>
      </c>
      <c r="C11" s="8" t="s">
        <v>399</v>
      </c>
    </row>
    <row r="12" spans="1:4">
      <c r="A12" t="s">
        <v>400</v>
      </c>
      <c r="B12" s="3">
        <f>IF(OR(B10="",B11=""),"",B10*B11)</f>
        <v>36469.229999999996</v>
      </c>
      <c r="C12" t="s">
        <v>401</v>
      </c>
    </row>
    <row r="13" spans="1:4">
      <c r="A13" s="8" t="s">
        <v>402</v>
      </c>
      <c r="B13" s="10">
        <v>0.05</v>
      </c>
      <c r="C13" s="8" t="s">
        <v>403</v>
      </c>
    </row>
    <row r="14" spans="1:4">
      <c r="A14" t="s">
        <v>404</v>
      </c>
      <c r="B14" s="3">
        <f>IF(OR(B10="",B13=""),"",B10*B13)</f>
        <v>2604.9450000000002</v>
      </c>
      <c r="C14" t="s">
        <v>401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>
      <pane ySplit="4" topLeftCell="A5" activePane="bottomLeft" state="frozen"/>
      <selection pane="bottomLeft" activeCell="B10" sqref="B10"/>
    </sheetView>
  </sheetViews>
  <sheetFormatPr defaultRowHeight="15"/>
  <cols>
    <col min="1" max="1" width="33" customWidth="1"/>
    <col min="2" max="2" width="105" customWidth="1"/>
  </cols>
  <sheetData>
    <row r="1" spans="1:2" ht="30" customHeight="1">
      <c r="A1" s="12" t="s">
        <v>405</v>
      </c>
      <c r="B1" s="12"/>
    </row>
    <row r="2" spans="1:2" ht="24" customHeight="1">
      <c r="A2" s="13" t="s">
        <v>1</v>
      </c>
      <c r="B2" s="13"/>
    </row>
    <row r="4" spans="1:2" ht="26.1" customHeight="1">
      <c r="A4" s="2" t="s">
        <v>406</v>
      </c>
      <c r="B4" s="2" t="s">
        <v>407</v>
      </c>
    </row>
    <row r="5" spans="1:2">
      <c r="A5" t="s">
        <v>408</v>
      </c>
      <c r="B5" t="s">
        <v>409</v>
      </c>
    </row>
    <row r="6" spans="1:2">
      <c r="A6" t="s">
        <v>410</v>
      </c>
      <c r="B6" t="s">
        <v>411</v>
      </c>
    </row>
    <row r="7" spans="1:2">
      <c r="A7" t="s">
        <v>412</v>
      </c>
      <c r="B7" t="s">
        <v>413</v>
      </c>
    </row>
    <row r="8" spans="1:2">
      <c r="A8" t="s">
        <v>414</v>
      </c>
      <c r="B8" t="s">
        <v>415</v>
      </c>
    </row>
    <row r="9" spans="1:2">
      <c r="A9" t="s">
        <v>416</v>
      </c>
      <c r="B9" t="s">
        <v>417</v>
      </c>
    </row>
    <row r="10" spans="1:2">
      <c r="A10" t="s">
        <v>418</v>
      </c>
      <c r="B10" t="s">
        <v>419</v>
      </c>
    </row>
    <row r="11" spans="1:2">
      <c r="A11" t="s">
        <v>420</v>
      </c>
      <c r="B11" t="s">
        <v>421</v>
      </c>
    </row>
    <row r="12" spans="1:2">
      <c r="A12" t="s">
        <v>422</v>
      </c>
      <c r="B12" t="s">
        <v>423</v>
      </c>
    </row>
    <row r="13" spans="1:2">
      <c r="A13" t="s">
        <v>424</v>
      </c>
      <c r="B13" t="s">
        <v>425</v>
      </c>
    </row>
    <row r="14" spans="1:2">
      <c r="A14" t="s">
        <v>426</v>
      </c>
      <c r="B14" t="s">
        <v>427</v>
      </c>
    </row>
    <row r="15" spans="1:2">
      <c r="A15" t="s">
        <v>428</v>
      </c>
      <c r="B15" t="s">
        <v>429</v>
      </c>
    </row>
    <row r="16" spans="1:2">
      <c r="A16" t="s">
        <v>430</v>
      </c>
      <c r="B16" t="s">
        <v>431</v>
      </c>
    </row>
    <row r="17" spans="1:2">
      <c r="A17" t="s">
        <v>432</v>
      </c>
      <c r="B17" t="s">
        <v>433</v>
      </c>
    </row>
    <row r="18" spans="1:2">
      <c r="A18" t="s">
        <v>434</v>
      </c>
      <c r="B18" t="s">
        <v>435</v>
      </c>
    </row>
    <row r="19" spans="1:2">
      <c r="A19" t="s">
        <v>436</v>
      </c>
      <c r="B19" t="s">
        <v>437</v>
      </c>
    </row>
    <row r="20" spans="1:2" ht="14.25"/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2026-10-21T16:30:59Z</dcterms:created>
  <dcterms:modified xsi:type="dcterms:W3CDTF">2026-10-21T20:16:12Z</dcterms:modified>
  <cp:category/>
  <cp:contentStatus/>
</cp:coreProperties>
</file>