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82C79705-939C-4E1E-9F68-D8BBF3CB688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ntes_e_critérios" sheetId="1" r:id="rId1"/>
    <sheet name="Ponte_individual_grupo" sheetId="2" r:id="rId2"/>
    <sheet name="Componentes_e_riscos" sheetId="3" r:id="rId3"/>
    <sheet name="Procedimentos_e_evidências" sheetId="4" r:id="rId4"/>
    <sheet name="Controle_auditore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0" i="2"/>
  <c r="D9" i="2"/>
  <c r="D8" i="2"/>
  <c r="D6" i="2"/>
  <c r="D5" i="2"/>
  <c r="D4" i="2"/>
</calcChain>
</file>

<file path=xl/sharedStrings.xml><?xml version="1.0" encoding="utf-8"?>
<sst xmlns="http://schemas.openxmlformats.org/spreadsheetml/2006/main" count="212" uniqueCount="179">
  <si>
    <t>PT-600 | CRITÉRIOS DE AUDITORIA DE GRUPOS</t>
  </si>
  <si>
    <t>Item</t>
  </si>
  <si>
    <t>Valor/critério</t>
  </si>
  <si>
    <t>Data-base</t>
  </si>
  <si>
    <t>31/12/2025</t>
  </si>
  <si>
    <t>Materialidade global (R$)</t>
  </si>
  <si>
    <t>Materialidade para execução do grupo (R$)</t>
  </si>
  <si>
    <t>Data da elaboração</t>
  </si>
  <si>
    <t>25/10/2026</t>
  </si>
  <si>
    <t>Unidade dos saldos da DFP</t>
  </si>
  <si>
    <t>R$ mil</t>
  </si>
  <si>
    <t>Critério de componentes</t>
  </si>
  <si>
    <t>Risco + relevância + dispersão; sem alocação automática</t>
  </si>
  <si>
    <t>Materialidade dos componentes</t>
  </si>
  <si>
    <t>A definir após obter informações financeiras individuais</t>
  </si>
  <si>
    <t>Natureza do trabalho</t>
  </si>
  <si>
    <t>Simulação didática, sem acesso aos pacotes de consolidação</t>
  </si>
  <si>
    <t>Código</t>
  </si>
  <si>
    <t>Fonte</t>
  </si>
  <si>
    <t>DOC-IND-2025</t>
  </si>
  <si>
    <t>DFP 2025, demonstrações individuais, arquivo anexado</t>
  </si>
  <si>
    <t>DOC-CON-2025</t>
  </si>
  <si>
    <t>DFP 2025 consolidada (já utilizada nos PTs 500/570)</t>
  </si>
  <si>
    <t>DOC-FRE-2025</t>
  </si>
  <si>
    <t>Formulário de Referência TOTVS 2025, seções 6 e 11</t>
  </si>
  <si>
    <t>PT-320</t>
  </si>
  <si>
    <t>Materialidade acadêmica do grupo</t>
  </si>
  <si>
    <t>PT-550</t>
  </si>
  <si>
    <t>Partes relacionadas e operações intragrupo</t>
  </si>
  <si>
    <t>Conta (R$ mil)</t>
  </si>
  <si>
    <t>Individual 2025</t>
  </si>
  <si>
    <t>Consolidado 2025</t>
  </si>
  <si>
    <t>Diferença consolidado-individual</t>
  </si>
  <si>
    <t>Interpretação / ressalva</t>
  </si>
  <si>
    <t>Ativo total</t>
  </si>
  <si>
    <t>Diferença não equivale à eliminação líquida; envolve componentes e ajustes</t>
  </si>
  <si>
    <t>Caixa e equivalentes</t>
  </si>
  <si>
    <t>Consolidação incorpora caixas de outras entidades e ajustes</t>
  </si>
  <si>
    <t>Clientes circulante</t>
  </si>
  <si>
    <t>Saldos não são ponte de eliminações</t>
  </si>
  <si>
    <t>Investimentos em controladas (controladora)</t>
  </si>
  <si>
    <t>Saldo apresentado só no individual; não comparável a investimentos consolidados</t>
  </si>
  <si>
    <t>Intangível</t>
  </si>
  <si>
    <t>Goodwill consolidado R$ 3.167.139 mil; cuidado com perímetro</t>
  </si>
  <si>
    <t>Receita líquida</t>
  </si>
  <si>
    <t>DRE individual e consolidada têm perímetros distintos</t>
  </si>
  <si>
    <t>Lucro líquido atribuído à controladora</t>
  </si>
  <si>
    <t>Consolidado atribuível aos acionistas controladores; não confundir com lucro consolidado total</t>
  </si>
  <si>
    <t>Lucro líquido total consolidado</t>
  </si>
  <si>
    <t>Inclui participação de não controladores; não comparável diretamente ao individual</t>
  </si>
  <si>
    <t>Patrimônio líquido atribuível à controladora</t>
  </si>
  <si>
    <t>Equivalência patrimonial e consolidação podem preservar PL atribuível</t>
  </si>
  <si>
    <t>Componente/categoria</t>
  </si>
  <si>
    <t>Natureza / fonte</t>
  </si>
  <si>
    <t>Participação</t>
  </si>
  <si>
    <t>Processo sensível</t>
  </si>
  <si>
    <t>Risco / afirmação</t>
  </si>
  <si>
    <t>Prioridade</t>
  </si>
  <si>
    <t>Dados financeiros individuais</t>
  </si>
  <si>
    <t>Auditor do componente</t>
  </si>
  <si>
    <t>Materialidade execução componente (R$)</t>
  </si>
  <si>
    <t>Escopo / status</t>
  </si>
  <si>
    <t>TOTVS S.A. (controladora)</t>
  </si>
  <si>
    <t>DFP individual</t>
  </si>
  <si>
    <t>Controladora</t>
  </si>
  <si>
    <t>Receita, centralização, consolidação</t>
  </si>
  <si>
    <t>Receita, corte, integridade de eliminações</t>
  </si>
  <si>
    <t>Alta</t>
  </si>
  <si>
    <t>DFP individual disponível</t>
  </si>
  <si>
    <t>Não verificado</t>
  </si>
  <si>
    <t>Análise pública executada; escopo interno planejado</t>
  </si>
  <si>
    <t>RD Station / UGC RD</t>
  </si>
  <si>
    <t>Divulgações consolidadas / UGC</t>
  </si>
  <si>
    <t>Controlada/grupo: confirmar cadeia exata</t>
  </si>
  <si>
    <t>Goodwill e intangíveis</t>
  </si>
  <si>
    <t>Mensuração impairment UGC RD; divulgações</t>
  </si>
  <si>
    <t>Não disponível individualmente</t>
  </si>
  <si>
    <t>Análise de nota pública; teste do valor recuperável não executado</t>
  </si>
  <si>
    <t>Dimensa e operações descontinuadas</t>
  </si>
  <si>
    <t>DFP e fatos relevantes</t>
  </si>
  <si>
    <t>Perímetro 2025 a confirmar por entidade</t>
  </si>
  <si>
    <t>Ativos mantidos para venda, resultado descontinuado</t>
  </si>
  <si>
    <t>Classificação, mensuração, corte e eliminação</t>
  </si>
  <si>
    <t>Análise pública; revisão de consolidação pendente</t>
  </si>
  <si>
    <t>Demais controladas Gestão</t>
  </si>
  <si>
    <t>FRE 2025 seções 6.4/6.5</t>
  </si>
  <si>
    <t>A confirmar individualmente</t>
  </si>
  <si>
    <t>Software e contratos</t>
  </si>
  <si>
    <t>Receita, ativos, partes relacionadas</t>
  </si>
  <si>
    <t>A avaliar</t>
  </si>
  <si>
    <t>Não disponíveis</t>
  </si>
  <si>
    <t>Mapeamento documental preliminar</t>
  </si>
  <si>
    <t>Controladas em conjunto / investidas por equivalência</t>
  </si>
  <si>
    <t>DFP consolidada e FRE</t>
  </si>
  <si>
    <t>Avaliar controle compartilhado</t>
  </si>
  <si>
    <t>Equivalência patrimonial</t>
  </si>
  <si>
    <t>Classificação e mensuração investimento</t>
  </si>
  <si>
    <t>Distinguir de subsidiária integralmente consolidada</t>
  </si>
  <si>
    <t>Regra sobre materialidade</t>
  </si>
  <si>
    <t>Aplicação</t>
  </si>
  <si>
    <t>Materialidade de componente</t>
  </si>
  <si>
    <t>Determinar segundo risco, agregação e escopo; inferior à materialidade de execução do grupo quando aplicável</t>
  </si>
  <si>
    <t>Valores em branco na coluna I</t>
  </si>
  <si>
    <t>Não são zero: aguardam demonstrações/pacotes dos componentes e julgamento fundamentado</t>
  </si>
  <si>
    <t>ID</t>
  </si>
  <si>
    <t>Procedimento</t>
  </si>
  <si>
    <t>Tipo</t>
  </si>
  <si>
    <t>Fonte/evidência</t>
  </si>
  <si>
    <t>Situação</t>
  </si>
  <si>
    <t>Resultado / lacuna</t>
  </si>
  <si>
    <t>600-01</t>
  </si>
  <si>
    <t>Mapear estrutura societária por FRE e DFP</t>
  </si>
  <si>
    <t>Documental</t>
  </si>
  <si>
    <t>FRE seções 6/11; DFP</t>
  </si>
  <si>
    <t>Executado parcialmente</t>
  </si>
  <si>
    <t>Categorias mapeadas; lista completa por CNPJ e percentual exige confirmação</t>
  </si>
  <si>
    <t>600-02</t>
  </si>
  <si>
    <t>Conferir DFP individual versus consolidada</t>
  </si>
  <si>
    <t>Analítico</t>
  </si>
  <si>
    <t>DFP individual e consolidada</t>
  </si>
  <si>
    <t>Executado</t>
  </si>
  <si>
    <t>Ponte aritmética de saldos; não é conciliação de eliminações</t>
  </si>
  <si>
    <t>600-03</t>
  </si>
  <si>
    <t>Identificar riscos por processos e componentes</t>
  </si>
  <si>
    <t>Avaliação preliminar</t>
  </si>
  <si>
    <t>PT-315; PT-330; PT-540; PT-550</t>
  </si>
  <si>
    <t>Executado preliminarmente</t>
  </si>
  <si>
    <t>Priorização qualitativa sem mensuração por componente</t>
  </si>
  <si>
    <t>600-04</t>
  </si>
  <si>
    <t>Determinar materialidade de execução dos componentes</t>
  </si>
  <si>
    <t>Planejamento</t>
  </si>
  <si>
    <t>PT-320; demonstrações de componentes</t>
  </si>
  <si>
    <t>Não executado</t>
  </si>
  <si>
    <t>Faltam dados individuais e riscos detalhados para calibragem</t>
  </si>
  <si>
    <t>600-05</t>
  </si>
  <si>
    <t>Inspecionar ajustes e eliminações intragrupo</t>
  </si>
  <si>
    <t>Substantivo</t>
  </si>
  <si>
    <t>Pacotes de consolidação e razão</t>
  </si>
  <si>
    <t>Documentação interna indisponível</t>
  </si>
  <si>
    <t>600-06</t>
  </si>
  <si>
    <t>Revisar uniformidade de políticas e datas-base</t>
  </si>
  <si>
    <t>Controle/substantivo</t>
  </si>
  <si>
    <t>Manual de consolidação; políticas de componentes</t>
  </si>
  <si>
    <t>Somente divulgações públicas disponíveis</t>
  </si>
  <si>
    <t>600-07</t>
  </si>
  <si>
    <t>Solicitar instruções e resultados de auditores de componentes</t>
  </si>
  <si>
    <t>Coordenação</t>
  </si>
  <si>
    <t>Modelo comunicação; relatórios de componentes</t>
  </si>
  <si>
    <t>Nenhuma comunicação real, sem evidência de participação</t>
  </si>
  <si>
    <t>600-08</t>
  </si>
  <si>
    <t>Avaliar suficiência de evidências do grupo</t>
  </si>
  <si>
    <t>Conclusão</t>
  </si>
  <si>
    <t>PT-500 e demais procedimentos</t>
  </si>
  <si>
    <t>Suficiência documental limitada; sem conclusão de auditoria independente</t>
  </si>
  <si>
    <t>Componente</t>
  </si>
  <si>
    <t>Contato auditor</t>
  </si>
  <si>
    <t>Independência/competência</t>
  </si>
  <si>
    <t>Instruções enviadas</t>
  </si>
  <si>
    <t>Trabalho recebido</t>
  </si>
  <si>
    <t>Revisão equipe do grupo</t>
  </si>
  <si>
    <t>Não identificado</t>
  </si>
  <si>
    <t>Não avaliado</t>
  </si>
  <si>
    <t>Não enviado</t>
  </si>
  <si>
    <t>Não recebido</t>
  </si>
  <si>
    <t>Não executada</t>
  </si>
  <si>
    <t>MODELO DE CONTROLE — sem contato real</t>
  </si>
  <si>
    <t>UGC RD / componente a definir</t>
  </si>
  <si>
    <t>Dimensa / componente a definir</t>
  </si>
  <si>
    <t>Demais entidades a definir</t>
  </si>
  <si>
    <t>Modelo de instrução (não enviado)</t>
  </si>
  <si>
    <t>Objeto</t>
  </si>
  <si>
    <t>M01</t>
  </si>
  <si>
    <t>Confirmar escopo, período, estrutura e critérios de reporte</t>
  </si>
  <si>
    <t>M02</t>
  </si>
  <si>
    <t>Indicar riscos significativos e afirmações relevantes</t>
  </si>
  <si>
    <t>M03</t>
  </si>
  <si>
    <t>Solicitar comunicação de distorções, eventos subsequentes, deficiências e partes relacionadas</t>
  </si>
  <si>
    <t>M04</t>
  </si>
  <si>
    <t>Solicitar independência, competência, evidências e limitações do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</si>
</sst>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–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3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3" topLeftCell="A8" activePane="bottomLeft" state="frozen"/>
      <selection pane="bottomLeft" activeCell="A12" sqref="A12"/>
    </sheetView>
  </sheetViews>
  <sheetFormatPr defaultRowHeight="15"/>
  <cols>
    <col min="1" max="1" width="43" customWidth="1"/>
    <col min="2" max="2" width="52.25" bestFit="1" customWidth="1"/>
  </cols>
  <sheetData>
    <row r="1" spans="1:2">
      <c r="A1" s="2" t="s">
        <v>0</v>
      </c>
    </row>
    <row r="3" spans="1:2" ht="32.1" customHeight="1">
      <c r="A3" s="1" t="s">
        <v>1</v>
      </c>
      <c r="B3" s="1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>
        <v>52098900</v>
      </c>
    </row>
    <row r="6" spans="1:2">
      <c r="A6" t="s">
        <v>6</v>
      </c>
      <c r="B6">
        <v>36469230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3" topLeftCell="A4" activePane="bottomLeft" state="frozen"/>
      <selection pane="bottomLeft" activeCell="E1" sqref="E1"/>
    </sheetView>
  </sheetViews>
  <sheetFormatPr defaultRowHeight="15"/>
  <cols>
    <col min="1" max="1" width="37" customWidth="1"/>
    <col min="2" max="2" width="22" customWidth="1"/>
    <col min="3" max="3" width="25" customWidth="1"/>
    <col min="4" max="4" width="30.625" bestFit="1" customWidth="1"/>
    <col min="5" max="5" width="90" customWidth="1"/>
  </cols>
  <sheetData>
    <row r="1" spans="1:5">
      <c r="A1" s="2"/>
    </row>
    <row r="3" spans="1:5" ht="32.1" customHeight="1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</row>
    <row r="4" spans="1:5">
      <c r="A4" t="s">
        <v>34</v>
      </c>
      <c r="B4" s="3">
        <v>8362293</v>
      </c>
      <c r="C4" s="3">
        <v>9452171</v>
      </c>
      <c r="D4" s="3">
        <f>C4-B4</f>
        <v>1089878</v>
      </c>
      <c r="E4" t="s">
        <v>35</v>
      </c>
    </row>
    <row r="5" spans="1:5">
      <c r="A5" t="s">
        <v>36</v>
      </c>
      <c r="B5" s="3">
        <v>1412901</v>
      </c>
      <c r="C5" s="3">
        <v>1785703</v>
      </c>
      <c r="D5" s="3">
        <f>C5-B5</f>
        <v>372802</v>
      </c>
      <c r="E5" t="s">
        <v>37</v>
      </c>
    </row>
    <row r="6" spans="1:5">
      <c r="A6" t="s">
        <v>38</v>
      </c>
      <c r="B6" s="3">
        <v>466880</v>
      </c>
      <c r="C6" s="3">
        <v>639136</v>
      </c>
      <c r="D6" s="3">
        <f>C6-B6</f>
        <v>172256</v>
      </c>
      <c r="E6" t="s">
        <v>39</v>
      </c>
    </row>
    <row r="7" spans="1:5">
      <c r="A7" t="s">
        <v>40</v>
      </c>
      <c r="B7" s="3">
        <v>4176172</v>
      </c>
      <c r="C7" s="3"/>
      <c r="D7" s="3"/>
      <c r="E7" t="s">
        <v>41</v>
      </c>
    </row>
    <row r="8" spans="1:5">
      <c r="A8" t="s">
        <v>42</v>
      </c>
      <c r="B8" s="3">
        <v>586621</v>
      </c>
      <c r="C8" s="3">
        <v>3904253</v>
      </c>
      <c r="D8" s="3">
        <f>C8-B8</f>
        <v>3317632</v>
      </c>
      <c r="E8" t="s">
        <v>43</v>
      </c>
    </row>
    <row r="9" spans="1:5">
      <c r="A9" t="s">
        <v>44</v>
      </c>
      <c r="B9" s="3">
        <v>3789057</v>
      </c>
      <c r="C9" s="3">
        <v>5771867</v>
      </c>
      <c r="D9" s="3">
        <f>C9-B9</f>
        <v>1982810</v>
      </c>
      <c r="E9" t="s">
        <v>45</v>
      </c>
    </row>
    <row r="10" spans="1:5">
      <c r="A10" t="s">
        <v>46</v>
      </c>
      <c r="B10" s="3">
        <v>891741</v>
      </c>
      <c r="C10" s="3">
        <v>891741</v>
      </c>
      <c r="D10" s="3">
        <f>C10-B10</f>
        <v>0</v>
      </c>
      <c r="E10" t="s">
        <v>47</v>
      </c>
    </row>
    <row r="11" spans="1:5">
      <c r="A11" t="s">
        <v>48</v>
      </c>
      <c r="B11" s="3"/>
      <c r="C11" s="3">
        <v>920742</v>
      </c>
      <c r="D11" s="3"/>
      <c r="E11" t="s">
        <v>49</v>
      </c>
    </row>
    <row r="12" spans="1:5">
      <c r="A12" t="s">
        <v>50</v>
      </c>
      <c r="B12" s="3">
        <v>5105280</v>
      </c>
      <c r="C12" s="3">
        <v>5105280</v>
      </c>
      <c r="D12" s="3">
        <f>C12-B12</f>
        <v>0</v>
      </c>
      <c r="E1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9" customWidth="1"/>
    <col min="2" max="2" width="35" customWidth="1"/>
    <col min="3" max="3" width="27" customWidth="1"/>
    <col min="4" max="4" width="38" customWidth="1"/>
    <col min="5" max="5" width="48" customWidth="1"/>
    <col min="6" max="6" width="18" customWidth="1"/>
    <col min="7" max="7" width="29" customWidth="1"/>
    <col min="8" max="8" width="22" customWidth="1"/>
    <col min="9" max="9" width="32" customWidth="1"/>
    <col min="10" max="10" width="56" customWidth="1"/>
  </cols>
  <sheetData>
    <row r="1" spans="1:10">
      <c r="A1" s="2"/>
    </row>
    <row r="3" spans="1:10" ht="32.1" customHeight="1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</row>
    <row r="4" spans="1:10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s="4"/>
      <c r="J4" t="s">
        <v>70</v>
      </c>
    </row>
    <row r="5" spans="1:10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67</v>
      </c>
      <c r="G5" t="s">
        <v>76</v>
      </c>
      <c r="H5" t="s">
        <v>69</v>
      </c>
      <c r="I5" s="4"/>
      <c r="J5" t="s">
        <v>77</v>
      </c>
    </row>
    <row r="6" spans="1:10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67</v>
      </c>
      <c r="G6" t="s">
        <v>76</v>
      </c>
      <c r="H6" t="s">
        <v>69</v>
      </c>
      <c r="I6" s="4"/>
      <c r="J6" t="s">
        <v>83</v>
      </c>
    </row>
    <row r="7" spans="1:10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69</v>
      </c>
      <c r="I7" s="4"/>
      <c r="J7" t="s">
        <v>91</v>
      </c>
    </row>
    <row r="8" spans="1:10">
      <c r="A8" t="s">
        <v>92</v>
      </c>
      <c r="B8" t="s">
        <v>93</v>
      </c>
      <c r="C8" t="s">
        <v>94</v>
      </c>
      <c r="D8" t="s">
        <v>95</v>
      </c>
      <c r="E8" t="s">
        <v>96</v>
      </c>
      <c r="F8" t="s">
        <v>89</v>
      </c>
      <c r="G8" t="s">
        <v>90</v>
      </c>
      <c r="H8" t="s">
        <v>69</v>
      </c>
      <c r="I8" s="4"/>
      <c r="J8" t="s">
        <v>97</v>
      </c>
    </row>
    <row r="11" spans="1:10">
      <c r="A11" t="s">
        <v>98</v>
      </c>
      <c r="B11" t="s">
        <v>99</v>
      </c>
    </row>
    <row r="12" spans="1:10">
      <c r="A12" t="s">
        <v>100</v>
      </c>
      <c r="B12" t="s">
        <v>101</v>
      </c>
    </row>
    <row r="13" spans="1:10">
      <c r="A13" t="s">
        <v>102</v>
      </c>
      <c r="B13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3" topLeftCell="A4" activePane="bottomLeft" state="frozen"/>
      <selection pane="bottomLeft" activeCell="D15" sqref="D15"/>
    </sheetView>
  </sheetViews>
  <sheetFormatPr defaultRowHeight="15"/>
  <cols>
    <col min="1" max="1" width="14" customWidth="1"/>
    <col min="2" max="2" width="59" customWidth="1"/>
    <col min="3" max="3" width="23" customWidth="1"/>
    <col min="4" max="4" width="52" customWidth="1"/>
    <col min="5" max="5" width="27" customWidth="1"/>
    <col min="6" max="6" width="72" customWidth="1"/>
  </cols>
  <sheetData>
    <row r="1" spans="1:6">
      <c r="A1" s="2"/>
    </row>
    <row r="3" spans="1:6" ht="32.1" customHeight="1">
      <c r="A3" s="1" t="s">
        <v>104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</row>
    <row r="4" spans="1:6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</row>
    <row r="5" spans="1:6">
      <c r="A5" t="s">
        <v>116</v>
      </c>
      <c r="B5" t="s">
        <v>117</v>
      </c>
      <c r="C5" t="s">
        <v>118</v>
      </c>
      <c r="D5" t="s">
        <v>119</v>
      </c>
      <c r="E5" t="s">
        <v>120</v>
      </c>
      <c r="F5" t="s">
        <v>121</v>
      </c>
    </row>
    <row r="6" spans="1:6">
      <c r="A6" t="s">
        <v>122</v>
      </c>
      <c r="B6" t="s">
        <v>123</v>
      </c>
      <c r="C6" t="s">
        <v>124</v>
      </c>
      <c r="D6" t="s">
        <v>125</v>
      </c>
      <c r="E6" t="s">
        <v>126</v>
      </c>
      <c r="F6" t="s">
        <v>127</v>
      </c>
    </row>
    <row r="7" spans="1:6">
      <c r="A7" t="s">
        <v>128</v>
      </c>
      <c r="B7" t="s">
        <v>129</v>
      </c>
      <c r="C7" t="s">
        <v>130</v>
      </c>
      <c r="D7" t="s">
        <v>131</v>
      </c>
      <c r="E7" t="s">
        <v>132</v>
      </c>
      <c r="F7" t="s">
        <v>133</v>
      </c>
    </row>
    <row r="8" spans="1:6">
      <c r="A8" t="s">
        <v>134</v>
      </c>
      <c r="B8" t="s">
        <v>135</v>
      </c>
      <c r="C8" t="s">
        <v>136</v>
      </c>
      <c r="D8" t="s">
        <v>137</v>
      </c>
      <c r="E8" t="s">
        <v>132</v>
      </c>
      <c r="F8" t="s">
        <v>138</v>
      </c>
    </row>
    <row r="9" spans="1:6">
      <c r="A9" t="s">
        <v>139</v>
      </c>
      <c r="B9" t="s">
        <v>140</v>
      </c>
      <c r="C9" t="s">
        <v>141</v>
      </c>
      <c r="D9" t="s">
        <v>142</v>
      </c>
      <c r="E9" t="s">
        <v>132</v>
      </c>
      <c r="F9" t="s">
        <v>143</v>
      </c>
    </row>
    <row r="10" spans="1:6">
      <c r="A10" t="s">
        <v>144</v>
      </c>
      <c r="B10" t="s">
        <v>145</v>
      </c>
      <c r="C10" t="s">
        <v>146</v>
      </c>
      <c r="D10" t="s">
        <v>147</v>
      </c>
      <c r="E10" t="s">
        <v>132</v>
      </c>
      <c r="F10" t="s">
        <v>148</v>
      </c>
    </row>
    <row r="11" spans="1:6">
      <c r="A11" t="s">
        <v>149</v>
      </c>
      <c r="B11" t="s">
        <v>150</v>
      </c>
      <c r="C11" t="s">
        <v>151</v>
      </c>
      <c r="D11" t="s">
        <v>152</v>
      </c>
      <c r="E11" t="s">
        <v>126</v>
      </c>
      <c r="F11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2" customWidth="1"/>
    <col min="2" max="2" width="29" customWidth="1"/>
    <col min="3" max="3" width="32" customWidth="1"/>
    <col min="4" max="4" width="26" customWidth="1"/>
    <col min="5" max="5" width="27" customWidth="1"/>
    <col min="6" max="6" width="29" customWidth="1"/>
    <col min="7" max="7" width="45" customWidth="1"/>
  </cols>
  <sheetData>
    <row r="1" spans="1:7">
      <c r="A1" s="2"/>
    </row>
    <row r="3" spans="1:7" ht="32.1" customHeight="1">
      <c r="A3" s="1" t="s">
        <v>154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  <c r="G3" s="1" t="s">
        <v>108</v>
      </c>
    </row>
    <row r="4" spans="1:7">
      <c r="A4" t="s">
        <v>64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  <c r="G4" t="s">
        <v>165</v>
      </c>
    </row>
    <row r="5" spans="1:7">
      <c r="A5" t="s">
        <v>166</v>
      </c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</row>
    <row r="6" spans="1:7">
      <c r="A6" t="s">
        <v>167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  <c r="G6" t="s">
        <v>165</v>
      </c>
    </row>
    <row r="7" spans="1:7">
      <c r="A7" t="s">
        <v>168</v>
      </c>
      <c r="B7" t="s">
        <v>160</v>
      </c>
      <c r="C7" t="s">
        <v>161</v>
      </c>
      <c r="D7" t="s">
        <v>162</v>
      </c>
      <c r="E7" t="s">
        <v>163</v>
      </c>
      <c r="F7" t="s">
        <v>164</v>
      </c>
      <c r="G7" t="s">
        <v>165</v>
      </c>
    </row>
    <row r="11" spans="1:7">
      <c r="A11" t="s">
        <v>169</v>
      </c>
      <c r="B11" t="s">
        <v>170</v>
      </c>
    </row>
    <row r="12" spans="1:7">
      <c r="A12" t="s">
        <v>171</v>
      </c>
      <c r="B12" t="s">
        <v>172</v>
      </c>
    </row>
    <row r="13" spans="1:7">
      <c r="A13" t="s">
        <v>173</v>
      </c>
      <c r="B13" t="s">
        <v>174</v>
      </c>
    </row>
    <row r="14" spans="1:7">
      <c r="A14" t="s">
        <v>175</v>
      </c>
      <c r="B14" t="s">
        <v>176</v>
      </c>
    </row>
    <row r="15" spans="1:7">
      <c r="A15" t="s">
        <v>177</v>
      </c>
      <c r="B1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2026-10-25T22:25:34Z</dcterms:created>
  <dcterms:modified xsi:type="dcterms:W3CDTF">2026-10-25T22:25:34Z</dcterms:modified>
  <cp:category/>
  <cp:contentStatus/>
</cp:coreProperties>
</file>