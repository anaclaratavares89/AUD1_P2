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/>
  <xr:revisionPtr revIDLastSave="0" documentId="8_{C91118EF-1968-47DC-99B6-4B15CFD2A379}" xr6:coauthVersionLast="47" xr6:coauthVersionMax="47" xr10:uidLastSave="{00000000-0000-0000-0000-000000000000}"/>
  <bookViews>
    <workbookView xWindow="0" yWindow="0" windowWidth="0" windowHeight="0" firstSheet="3" xr2:uid="{00000000-000D-0000-FFFF-FFFF00000000}"/>
  </bookViews>
  <sheets>
    <sheet name="Bases e premissas" sheetId="1" r:id="rId1"/>
    <sheet name="Cálculos PT-320" sheetId="2" r:id="rId2"/>
    <sheet name="Sensibilidade" sheetId="3" r:id="rId3"/>
    <sheet name="Fontes e revisõ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12" i="3"/>
  <c r="B11" i="3"/>
  <c r="B8" i="3"/>
  <c r="E8" i="3"/>
  <c r="D8" i="3"/>
  <c r="C8" i="3"/>
  <c r="B7" i="3"/>
  <c r="E7" i="3"/>
  <c r="D7" i="3"/>
  <c r="C7" i="3"/>
  <c r="B6" i="3"/>
  <c r="E6" i="3"/>
  <c r="D6" i="3"/>
  <c r="C6" i="3"/>
  <c r="B5" i="3"/>
  <c r="E5" i="3"/>
  <c r="D5" i="3"/>
  <c r="C5" i="3"/>
  <c r="B4" i="3"/>
  <c r="E4" i="3"/>
  <c r="D4" i="3"/>
  <c r="C4" i="3"/>
  <c r="B16" i="2"/>
  <c r="D16" i="2"/>
  <c r="B15" i="2"/>
  <c r="D15" i="2"/>
  <c r="B14" i="2"/>
  <c r="D14" i="2"/>
  <c r="B11" i="2"/>
  <c r="B10" i="2"/>
  <c r="B7" i="2"/>
  <c r="B8" i="2"/>
  <c r="B9" i="2"/>
</calcChain>
</file>

<file path=xl/sharedStrings.xml><?xml version="1.0" encoding="utf-8"?>
<sst xmlns="http://schemas.openxmlformats.org/spreadsheetml/2006/main" count="134" uniqueCount="123">
  <si>
    <t>PT-320 | Bases financeiras e premissas | TOTVS S.A. 2025</t>
  </si>
  <si>
    <t>Indicador</t>
  </si>
  <si>
    <t>R$ mil</t>
  </si>
  <si>
    <t>Origem / justificativa</t>
  </si>
  <si>
    <t>Observação</t>
  </si>
  <si>
    <t>Lucro antes IR/CSLL (continuadas)</t>
  </si>
  <si>
    <t>DFP 2025, DRE consolidada; resultado antes IR/CSLL</t>
  </si>
  <si>
    <t>Base principal proposta</t>
  </si>
  <si>
    <t>Receita líquida consolidada</t>
  </si>
  <si>
    <t>DFP 2025, DRE consolidada</t>
  </si>
  <si>
    <t>Referência de razoabilidade</t>
  </si>
  <si>
    <t>Ativo total consolidado</t>
  </si>
  <si>
    <t>DFP 2025, Balanço consolidado</t>
  </si>
  <si>
    <t>Patrimônio líquido consolidado</t>
  </si>
  <si>
    <t>DFP 2025, Balanço consolidado (inclui não controladores)</t>
  </si>
  <si>
    <t>Conferir contra DFP ao usar</t>
  </si>
  <si>
    <t>Intangível consolidado</t>
  </si>
  <si>
    <t>DFP 2025, balanço e nota de intangíveis</t>
  </si>
  <si>
    <t>Conta prioritária, não base automática</t>
  </si>
  <si>
    <t>Goodwill consolidado</t>
  </si>
  <si>
    <t>Subgrupo do intangível</t>
  </si>
  <si>
    <t>Lucro líquido consolidado</t>
  </si>
  <si>
    <t>Referência contextual</t>
  </si>
  <si>
    <t>Premissa</t>
  </si>
  <si>
    <t>Valor</t>
  </si>
  <si>
    <t>Justificativa acadêmica</t>
  </si>
  <si>
    <t>Percentual global</t>
  </si>
  <si>
    <t>5% sobre lucro antes de tributos; julgamento profissional</t>
  </si>
  <si>
    <t>Não é percentual fixado pela NBC TA 320</t>
  </si>
  <si>
    <t>Fração para execução</t>
  </si>
  <si>
    <t>70% da global: margem para distorções agregadas</t>
  </si>
  <si>
    <t>Percentual opcional específico</t>
  </si>
  <si>
    <t>Simulação de 2% do saldo de intangíveis</t>
  </si>
  <si>
    <t>Não adotado automaticamente</t>
  </si>
  <si>
    <t>Adotar materialidade específica?</t>
  </si>
  <si>
    <t>0=não, 1=sim; depende de justificativa</t>
  </si>
  <si>
    <t>Analisar necessidades dos usuários</t>
  </si>
  <si>
    <t>Unidade dos valores de entrada</t>
  </si>
  <si>
    <t>Valores financeiros da DFP estão em milhares de reais</t>
  </si>
  <si>
    <t>Resultados em reais na aba de cálculo</t>
  </si>
  <si>
    <t>PT-320 | Memória de cálculo da materialidade</t>
  </si>
  <si>
    <t>Métrica</t>
  </si>
  <si>
    <t>Valor em R$</t>
  </si>
  <si>
    <t>Cálculo / referência</t>
  </si>
  <si>
    <t>Tratamento</t>
  </si>
  <si>
    <t>Base principal escolhida</t>
  </si>
  <si>
    <t>Lucro antes dos tributos das operações continuadas</t>
  </si>
  <si>
    <t>Valores em reais</t>
  </si>
  <si>
    <t>Percentual da materialidade global</t>
  </si>
  <si>
    <t>Premissa justificada no papel PT-320</t>
  </si>
  <si>
    <t>Percentual</t>
  </si>
  <si>
    <t>MATERIALIDADE GLOBAL</t>
  </si>
  <si>
    <t>Base principal x percentual</t>
  </si>
  <si>
    <t>MG</t>
  </si>
  <si>
    <t>Percentual para execução</t>
  </si>
  <si>
    <t>MATERIALIDADE PARA EXECUÇÃO</t>
  </si>
  <si>
    <t>MG x fração para execução</t>
  </si>
  <si>
    <t>ME</t>
  </si>
  <si>
    <t>Margem entre global e execução</t>
  </si>
  <si>
    <t>MG menos ME</t>
  </si>
  <si>
    <t>Diferença</t>
  </si>
  <si>
    <t>Limite específico ilustrativo (intangível)</t>
  </si>
  <si>
    <t>Saldo do intangível x 2%; apenas cenário</t>
  </si>
  <si>
    <t>Específica efetivamente adotada</t>
  </si>
  <si>
    <t>Somente se indicação e fundamentação formal</t>
  </si>
  <si>
    <t>Sem escolha automática</t>
  </si>
  <si>
    <t>Base alternativa</t>
  </si>
  <si>
    <t>Valor-base em R$</t>
  </si>
  <si>
    <t>Percentual ilustrativo</t>
  </si>
  <si>
    <t>Materialidade resultante (R$)</t>
  </si>
  <si>
    <t>Receita líquida</t>
  </si>
  <si>
    <t>Ativo total</t>
  </si>
  <si>
    <t>Patrimônio líquido</t>
  </si>
  <si>
    <t>Nota: comparações são testes de razoabilidade, não critérios normativos automáticos; materialidades específicas exigem justificativa própria.</t>
  </si>
  <si>
    <t>PT-320 | Sensibilidade e coerência das premissas</t>
  </si>
  <si>
    <t>% sobre lucro antes IR</t>
  </si>
  <si>
    <t>Materialidade global (R$)</t>
  </si>
  <si>
    <t>Execução 60% (R$)</t>
  </si>
  <si>
    <t>Execução 70% (R$)</t>
  </si>
  <si>
    <t>Execução 80% (R$)</t>
  </si>
  <si>
    <t>Teste complementar</t>
  </si>
  <si>
    <t>Resultado</t>
  </si>
  <si>
    <t>Interpretação</t>
  </si>
  <si>
    <t>Intangíveis / Ativo total</t>
  </si>
  <si>
    <t>Representatividade da conta selecionada.</t>
  </si>
  <si>
    <t>Global / lucro líquido</t>
  </si>
  <si>
    <t>Verificação complementar do porte relativo do limite.</t>
  </si>
  <si>
    <t>PT-320 | Evidências, documentação e controle de revisão</t>
  </si>
  <si>
    <t>Código</t>
  </si>
  <si>
    <t>Fonte</t>
  </si>
  <si>
    <t>Informação / uso</t>
  </si>
  <si>
    <t>Situação</t>
  </si>
  <si>
    <t>DOC-01</t>
  </si>
  <si>
    <t>DFP 2025 TOTVS</t>
  </si>
  <si>
    <t>BP e DRE consolidados; números da base</t>
  </si>
  <si>
    <t>Fonte pública</t>
  </si>
  <si>
    <t>DOC-02</t>
  </si>
  <si>
    <t>Notas explicativas 2025</t>
  </si>
  <si>
    <t>Intangíveis, goodwill e premissas</t>
  </si>
  <si>
    <t>DOC-03</t>
  </si>
  <si>
    <t>Relatório dos auditores 2025</t>
  </si>
  <si>
    <t>Contexto dos principais assuntos de auditoria</t>
  </si>
  <si>
    <t>NOR-320</t>
  </si>
  <si>
    <t>NBC TA 320 (R1)</t>
  </si>
  <si>
    <t>Itens 10–14: MG, execução, revisão e documentação</t>
  </si>
  <si>
    <t>Referência normativa</t>
  </si>
  <si>
    <t>PT-315</t>
  </si>
  <si>
    <t>Riscos e afirmações</t>
  </si>
  <si>
    <t>Justificativa e reavaliação dos limites</t>
  </si>
  <si>
    <t>Referência cruzada</t>
  </si>
  <si>
    <t>PT-300</t>
  </si>
  <si>
    <t>Planejamento da auditoria</t>
  </si>
  <si>
    <t>Uso de limites no escopo e extensão dos testes</t>
  </si>
  <si>
    <t>Versão</t>
  </si>
  <si>
    <t>Data</t>
  </si>
  <si>
    <t>Responsável / matrícula</t>
  </si>
  <si>
    <t>Alterações</t>
  </si>
  <si>
    <t>Revisão</t>
  </si>
  <si>
    <t>1.0</t>
  </si>
  <si>
    <t>23/10/2026</t>
  </si>
  <si>
    <t>Preparador do PT-320</t>
  </si>
  <si>
    <t>Criação da memória de cálculo com referências e fórmulas</t>
  </si>
  <si>
    <t>Pendente – campo reservado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</si>
</sst>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R\$\ #,##0.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2" fillId="3" borderId="0" xfId="0" applyFont="1" applyFill="1" applyAlignment="1">
      <alignment wrapText="1"/>
    </xf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165" fontId="0" fillId="0" borderId="0" xfId="0" applyNumberFormat="1"/>
    <xf numFmtId="165" fontId="0" fillId="3" borderId="0" xfId="0" applyNumberFormat="1" applyFill="1"/>
    <xf numFmtId="10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workbookViewId="0">
      <selection activeCell="C18" sqref="C18"/>
    </sheetView>
  </sheetViews>
  <sheetFormatPr defaultRowHeight="15"/>
  <cols>
    <col min="1" max="1" width="34" customWidth="1"/>
    <col min="2" max="2" width="26" customWidth="1"/>
    <col min="3" max="3" width="48" customWidth="1"/>
    <col min="4" max="4" width="32.125" customWidth="1"/>
    <col min="5" max="6" width="27" customWidth="1"/>
  </cols>
  <sheetData>
    <row r="1" spans="1:6" ht="32.1" customHeight="1">
      <c r="A1" s="10" t="s">
        <v>0</v>
      </c>
      <c r="B1" s="10"/>
      <c r="C1" s="10"/>
      <c r="D1" s="10"/>
      <c r="E1" s="10"/>
      <c r="F1" s="10"/>
    </row>
    <row r="3" spans="1:6" ht="27.95" customHeight="1">
      <c r="A3" s="2" t="s">
        <v>1</v>
      </c>
      <c r="B3" s="2" t="s">
        <v>2</v>
      </c>
      <c r="C3" s="2" t="s">
        <v>3</v>
      </c>
      <c r="D3" s="2" t="s">
        <v>4</v>
      </c>
    </row>
    <row r="4" spans="1:6">
      <c r="A4" t="s">
        <v>5</v>
      </c>
      <c r="B4" s="4">
        <v>1041978</v>
      </c>
      <c r="C4" t="s">
        <v>6</v>
      </c>
      <c r="D4" t="s">
        <v>7</v>
      </c>
    </row>
    <row r="5" spans="1:6">
      <c r="A5" t="s">
        <v>8</v>
      </c>
      <c r="B5" s="4">
        <v>5771867</v>
      </c>
      <c r="C5" t="s">
        <v>9</v>
      </c>
      <c r="D5" t="s">
        <v>10</v>
      </c>
    </row>
    <row r="6" spans="1:6">
      <c r="A6" t="s">
        <v>11</v>
      </c>
      <c r="B6" s="4">
        <v>9452171</v>
      </c>
      <c r="C6" t="s">
        <v>12</v>
      </c>
      <c r="D6" t="s">
        <v>10</v>
      </c>
    </row>
    <row r="7" spans="1:6">
      <c r="A7" t="s">
        <v>13</v>
      </c>
      <c r="B7" s="4">
        <v>5443457</v>
      </c>
      <c r="C7" t="s">
        <v>14</v>
      </c>
      <c r="D7" t="s">
        <v>15</v>
      </c>
    </row>
    <row r="8" spans="1:6">
      <c r="A8" t="s">
        <v>16</v>
      </c>
      <c r="B8" s="4">
        <v>3904253</v>
      </c>
      <c r="C8" t="s">
        <v>17</v>
      </c>
      <c r="D8" t="s">
        <v>18</v>
      </c>
    </row>
    <row r="9" spans="1:6">
      <c r="A9" t="s">
        <v>19</v>
      </c>
      <c r="B9" s="4">
        <v>3167139</v>
      </c>
      <c r="C9" t="s">
        <v>17</v>
      </c>
      <c r="D9" t="s">
        <v>20</v>
      </c>
    </row>
    <row r="10" spans="1:6">
      <c r="A10" t="s">
        <v>21</v>
      </c>
      <c r="B10" s="4">
        <v>920742</v>
      </c>
      <c r="C10" t="s">
        <v>9</v>
      </c>
      <c r="D10" t="s">
        <v>22</v>
      </c>
    </row>
    <row r="12" spans="1:6" ht="27.95" customHeight="1">
      <c r="A12" s="2" t="s">
        <v>23</v>
      </c>
      <c r="B12" s="2" t="s">
        <v>24</v>
      </c>
      <c r="C12" s="2" t="s">
        <v>25</v>
      </c>
      <c r="D12" s="2" t="s">
        <v>4</v>
      </c>
    </row>
    <row r="13" spans="1:6">
      <c r="A13" t="s">
        <v>26</v>
      </c>
      <c r="B13" s="3">
        <v>0.05</v>
      </c>
      <c r="C13" t="s">
        <v>27</v>
      </c>
      <c r="D13" t="s">
        <v>28</v>
      </c>
    </row>
    <row r="14" spans="1:6">
      <c r="A14" t="s">
        <v>29</v>
      </c>
      <c r="B14" s="3">
        <v>0.7</v>
      </c>
      <c r="C14" t="s">
        <v>30</v>
      </c>
      <c r="D14" t="s">
        <v>28</v>
      </c>
    </row>
    <row r="15" spans="1:6">
      <c r="A15" t="s">
        <v>31</v>
      </c>
      <c r="B15" s="3">
        <v>0.02</v>
      </c>
      <c r="C15" t="s">
        <v>32</v>
      </c>
      <c r="D15" t="s">
        <v>33</v>
      </c>
    </row>
    <row r="16" spans="1:6">
      <c r="A16" t="s">
        <v>34</v>
      </c>
      <c r="B16" s="5">
        <v>0</v>
      </c>
      <c r="C16" t="s">
        <v>35</v>
      </c>
      <c r="D16" t="s">
        <v>36</v>
      </c>
    </row>
    <row r="17" spans="1:4">
      <c r="A17" t="s">
        <v>37</v>
      </c>
      <c r="B17" s="5">
        <v>1000</v>
      </c>
      <c r="C17" t="s">
        <v>38</v>
      </c>
      <c r="D17" t="s">
        <v>39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/>
  </sheetViews>
  <sheetFormatPr defaultRowHeight="15"/>
  <cols>
    <col min="1" max="1" width="34" customWidth="1"/>
    <col min="2" max="2" width="26" customWidth="1"/>
    <col min="3" max="3" width="48" customWidth="1"/>
    <col min="4" max="4" width="29" customWidth="1"/>
    <col min="5" max="6" width="27" customWidth="1"/>
  </cols>
  <sheetData>
    <row r="1" spans="1:6" ht="32.1" customHeight="1">
      <c r="A1" s="10" t="s">
        <v>40</v>
      </c>
      <c r="B1" s="10"/>
      <c r="C1" s="10"/>
      <c r="D1" s="10"/>
      <c r="E1" s="10"/>
      <c r="F1" s="10"/>
    </row>
    <row r="3" spans="1:6" ht="27.95" customHeight="1">
      <c r="A3" s="2" t="s">
        <v>41</v>
      </c>
      <c r="B3" s="2" t="s">
        <v>42</v>
      </c>
      <c r="C3" s="2" t="s">
        <v>43</v>
      </c>
      <c r="D3" s="2" t="s">
        <v>44</v>
      </c>
    </row>
    <row r="4" spans="1:6">
      <c r="A4" t="s">
        <v>45</v>
      </c>
      <c r="B4" s="6">
        <f>'Bases e premissas'!B4*'Bases e premissas'!B17</f>
        <v>1041978000</v>
      </c>
      <c r="C4" t="s">
        <v>46</v>
      </c>
      <c r="D4" t="s">
        <v>47</v>
      </c>
    </row>
    <row r="5" spans="1:6">
      <c r="A5" t="s">
        <v>48</v>
      </c>
      <c r="B5" s="3">
        <f>'Bases e premissas'!B13</f>
        <v>0.05</v>
      </c>
      <c r="C5" t="s">
        <v>49</v>
      </c>
      <c r="D5" t="s">
        <v>50</v>
      </c>
    </row>
    <row r="6" spans="1:6">
      <c r="A6" s="1" t="s">
        <v>51</v>
      </c>
      <c r="B6" s="7">
        <f>B4*B5</f>
        <v>52098900</v>
      </c>
      <c r="C6" s="1" t="s">
        <v>52</v>
      </c>
      <c r="D6" s="1" t="s">
        <v>53</v>
      </c>
    </row>
    <row r="7" spans="1:6">
      <c r="A7" t="s">
        <v>54</v>
      </c>
      <c r="B7" s="3">
        <f>'Bases e premissas'!B14</f>
        <v>0.7</v>
      </c>
      <c r="C7" t="s">
        <v>49</v>
      </c>
      <c r="D7" t="s">
        <v>50</v>
      </c>
    </row>
    <row r="8" spans="1:6">
      <c r="A8" s="1" t="s">
        <v>55</v>
      </c>
      <c r="B8" s="7">
        <f>B6*B7</f>
        <v>36469230</v>
      </c>
      <c r="C8" s="1" t="s">
        <v>56</v>
      </c>
      <c r="D8" s="1" t="s">
        <v>57</v>
      </c>
    </row>
    <row r="9" spans="1:6">
      <c r="A9" t="s">
        <v>58</v>
      </c>
      <c r="B9" s="6">
        <f>B6-B8</f>
        <v>15629670</v>
      </c>
      <c r="C9" t="s">
        <v>59</v>
      </c>
      <c r="D9" t="s">
        <v>60</v>
      </c>
    </row>
    <row r="10" spans="1:6">
      <c r="A10" t="s">
        <v>61</v>
      </c>
      <c r="B10" s="6">
        <f>'Bases e premissas'!B8*'Bases e premissas'!B17*'Bases e premissas'!B15</f>
        <v>78085060</v>
      </c>
      <c r="C10" t="s">
        <v>62</v>
      </c>
      <c r="D10" t="s">
        <v>33</v>
      </c>
    </row>
    <row r="11" spans="1:6">
      <c r="A11" t="s">
        <v>63</v>
      </c>
      <c r="B11" s="6">
        <f>IF('Bases e premissas'!B16=1,B10,0)</f>
        <v>0</v>
      </c>
      <c r="C11" t="s">
        <v>64</v>
      </c>
      <c r="D11" t="s">
        <v>65</v>
      </c>
    </row>
    <row r="13" spans="1:6" ht="27.95" customHeight="1">
      <c r="A13" s="2" t="s">
        <v>66</v>
      </c>
      <c r="B13" s="2" t="s">
        <v>67</v>
      </c>
      <c r="C13" s="2" t="s">
        <v>68</v>
      </c>
      <c r="D13" s="2" t="s">
        <v>69</v>
      </c>
    </row>
    <row r="14" spans="1:6">
      <c r="A14" t="s">
        <v>70</v>
      </c>
      <c r="B14" s="6">
        <f>'Bases e premissas'!B5*'Bases e premissas'!B17</f>
        <v>5771867000</v>
      </c>
      <c r="C14" s="3">
        <v>0.01</v>
      </c>
      <c r="D14" s="6">
        <f>B14*C14</f>
        <v>57718670</v>
      </c>
    </row>
    <row r="15" spans="1:6">
      <c r="A15" t="s">
        <v>71</v>
      </c>
      <c r="B15" s="6">
        <f>'Bases e premissas'!B6*'Bases e premissas'!B17</f>
        <v>9452171000</v>
      </c>
      <c r="C15" s="3">
        <v>5.0000000000000001E-3</v>
      </c>
      <c r="D15" s="6">
        <f>B15*C15</f>
        <v>47260855</v>
      </c>
    </row>
    <row r="16" spans="1:6">
      <c r="A16" t="s">
        <v>72</v>
      </c>
      <c r="B16" s="6">
        <f>'Bases e premissas'!B7*'Bases e premissas'!B17</f>
        <v>5443457000</v>
      </c>
      <c r="C16" s="3">
        <v>0.01</v>
      </c>
      <c r="D16" s="6">
        <f>B16*C16</f>
        <v>54434570</v>
      </c>
    </row>
    <row r="19" spans="1:6">
      <c r="A19" s="9" t="s">
        <v>73</v>
      </c>
      <c r="B19" s="9"/>
      <c r="C19" s="9"/>
      <c r="D19" s="9"/>
      <c r="E19" s="9"/>
      <c r="F19" s="9"/>
    </row>
  </sheetData>
  <mergeCells count="2">
    <mergeCell ref="A1:F1"/>
    <mergeCell ref="A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topLeftCell="A3" workbookViewId="0"/>
  </sheetViews>
  <sheetFormatPr defaultRowHeight="15"/>
  <cols>
    <col min="1" max="1" width="34" customWidth="1"/>
    <col min="2" max="2" width="26" customWidth="1"/>
    <col min="3" max="3" width="48" customWidth="1"/>
    <col min="4" max="4" width="29" customWidth="1"/>
    <col min="5" max="6" width="27" customWidth="1"/>
  </cols>
  <sheetData>
    <row r="1" spans="1:6" ht="32.1" customHeight="1">
      <c r="A1" s="10" t="s">
        <v>74</v>
      </c>
      <c r="B1" s="10"/>
      <c r="C1" s="10"/>
      <c r="D1" s="10"/>
      <c r="E1" s="10"/>
      <c r="F1" s="10"/>
    </row>
    <row r="3" spans="1:6" ht="27.95" customHeight="1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</row>
    <row r="4" spans="1:6">
      <c r="A4" s="3">
        <v>0.03</v>
      </c>
      <c r="B4" s="6">
        <f>'Bases e premissas'!B4*'Bases e premissas'!B17*A4</f>
        <v>31259340</v>
      </c>
      <c r="C4" s="6">
        <f>B4*0.6</f>
        <v>18755604</v>
      </c>
      <c r="D4" s="6">
        <f>B4*0.7</f>
        <v>21881538</v>
      </c>
      <c r="E4" s="6">
        <f>B4*0.8</f>
        <v>25007472</v>
      </c>
    </row>
    <row r="5" spans="1:6">
      <c r="A5" s="3">
        <v>0.04</v>
      </c>
      <c r="B5" s="6">
        <f>'Bases e premissas'!B4*'Bases e premissas'!B17*A5</f>
        <v>41679120</v>
      </c>
      <c r="C5" s="6">
        <f>B5*0.6</f>
        <v>25007472</v>
      </c>
      <c r="D5" s="6">
        <f>B5*0.7</f>
        <v>29175384</v>
      </c>
      <c r="E5" s="6">
        <f>B5*0.8</f>
        <v>33343296</v>
      </c>
    </row>
    <row r="6" spans="1:6">
      <c r="A6" s="3">
        <v>0.05</v>
      </c>
      <c r="B6" s="6">
        <f>'Bases e premissas'!B4*'Bases e premissas'!B17*A6</f>
        <v>52098900</v>
      </c>
      <c r="C6" s="6">
        <f>B6*0.6</f>
        <v>31259340</v>
      </c>
      <c r="D6" s="6">
        <f>B6*0.7</f>
        <v>36469230</v>
      </c>
      <c r="E6" s="6">
        <f>B6*0.8</f>
        <v>41679120</v>
      </c>
    </row>
    <row r="7" spans="1:6">
      <c r="A7" s="3">
        <v>0.06</v>
      </c>
      <c r="B7" s="6">
        <f>'Bases e premissas'!B4*'Bases e premissas'!B17*A7</f>
        <v>62518680</v>
      </c>
      <c r="C7" s="6">
        <f>B7*0.6</f>
        <v>37511208</v>
      </c>
      <c r="D7" s="6">
        <f>B7*0.7</f>
        <v>43763076</v>
      </c>
      <c r="E7" s="6">
        <f>B7*0.8</f>
        <v>50014944</v>
      </c>
    </row>
    <row r="8" spans="1:6">
      <c r="A8" s="3">
        <v>7.0000000000000007E-2</v>
      </c>
      <c r="B8" s="6">
        <f>'Bases e premissas'!B4*'Bases e premissas'!B17*A8</f>
        <v>72938460</v>
      </c>
      <c r="C8" s="6">
        <f>B8*0.6</f>
        <v>43763076</v>
      </c>
      <c r="D8" s="6">
        <f>B8*0.7</f>
        <v>51056922</v>
      </c>
      <c r="E8" s="6">
        <f>B8*0.8</f>
        <v>58350768</v>
      </c>
    </row>
    <row r="10" spans="1:6" ht="27.95" customHeight="1">
      <c r="A10" s="2" t="s">
        <v>80</v>
      </c>
      <c r="B10" s="2" t="s">
        <v>81</v>
      </c>
      <c r="C10" s="2" t="s">
        <v>82</v>
      </c>
    </row>
    <row r="11" spans="1:6">
      <c r="A11" t="s">
        <v>83</v>
      </c>
      <c r="B11" s="8">
        <f>'Bases e premissas'!B8/'Bases e premissas'!B6</f>
        <v>0.41305357256020864</v>
      </c>
      <c r="C11" t="s">
        <v>84</v>
      </c>
    </row>
    <row r="12" spans="1:6">
      <c r="A12" t="s">
        <v>85</v>
      </c>
      <c r="B12" s="8">
        <f>'Cálculos PT-320'!B6/('Bases e premissas'!B10*'Bases e premissas'!B17)</f>
        <v>5.6583603224356009E-2</v>
      </c>
      <c r="C12" t="s">
        <v>86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workbookViewId="0">
      <selection activeCell="A16" sqref="A16:F16"/>
    </sheetView>
  </sheetViews>
  <sheetFormatPr defaultRowHeight="15"/>
  <cols>
    <col min="1" max="1" width="34" customWidth="1"/>
    <col min="2" max="2" width="26" customWidth="1"/>
    <col min="3" max="3" width="48" customWidth="1"/>
    <col min="4" max="4" width="50.5" bestFit="1" customWidth="1"/>
    <col min="5" max="6" width="27" customWidth="1"/>
  </cols>
  <sheetData>
    <row r="1" spans="1:6" ht="32.1" customHeight="1">
      <c r="A1" s="10" t="s">
        <v>87</v>
      </c>
      <c r="B1" s="10"/>
      <c r="C1" s="10"/>
      <c r="D1" s="10"/>
      <c r="E1" s="10"/>
      <c r="F1" s="10"/>
    </row>
    <row r="3" spans="1:6" ht="27.95" customHeight="1">
      <c r="A3" s="2" t="s">
        <v>88</v>
      </c>
      <c r="B3" s="2" t="s">
        <v>89</v>
      </c>
      <c r="C3" s="2" t="s">
        <v>90</v>
      </c>
      <c r="D3" s="2" t="s">
        <v>91</v>
      </c>
    </row>
    <row r="4" spans="1:6">
      <c r="A4" t="s">
        <v>92</v>
      </c>
      <c r="B4" t="s">
        <v>93</v>
      </c>
      <c r="C4" t="s">
        <v>94</v>
      </c>
      <c r="D4" t="s">
        <v>95</v>
      </c>
    </row>
    <row r="5" spans="1:6">
      <c r="A5" t="s">
        <v>96</v>
      </c>
      <c r="B5" t="s">
        <v>97</v>
      </c>
      <c r="C5" t="s">
        <v>98</v>
      </c>
      <c r="D5" t="s">
        <v>95</v>
      </c>
    </row>
    <row r="6" spans="1:6">
      <c r="A6" t="s">
        <v>99</v>
      </c>
      <c r="B6" t="s">
        <v>100</v>
      </c>
      <c r="C6" t="s">
        <v>101</v>
      </c>
      <c r="D6" t="s">
        <v>95</v>
      </c>
    </row>
    <row r="7" spans="1:6">
      <c r="A7" t="s">
        <v>102</v>
      </c>
      <c r="B7" t="s">
        <v>103</v>
      </c>
      <c r="C7" t="s">
        <v>104</v>
      </c>
      <c r="D7" t="s">
        <v>105</v>
      </c>
    </row>
    <row r="8" spans="1:6">
      <c r="A8" t="s">
        <v>106</v>
      </c>
      <c r="B8" t="s">
        <v>107</v>
      </c>
      <c r="C8" t="s">
        <v>108</v>
      </c>
      <c r="D8" t="s">
        <v>109</v>
      </c>
    </row>
    <row r="9" spans="1:6">
      <c r="A9" t="s">
        <v>110</v>
      </c>
      <c r="B9" t="s">
        <v>111</v>
      </c>
      <c r="C9" t="s">
        <v>112</v>
      </c>
      <c r="D9" t="s">
        <v>109</v>
      </c>
    </row>
    <row r="12" spans="1:6" ht="27.95" customHeight="1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</row>
    <row r="13" spans="1:6">
      <c r="A13" t="s">
        <v>118</v>
      </c>
      <c r="B13" t="s">
        <v>119</v>
      </c>
      <c r="C13" t="s">
        <v>120</v>
      </c>
      <c r="D13" t="s">
        <v>121</v>
      </c>
      <c r="E13" t="s">
        <v>122</v>
      </c>
    </row>
    <row r="16" spans="1:6" ht="14.25">
      <c r="A16" s="9"/>
      <c r="B16" s="9"/>
      <c r="C16" s="9"/>
      <c r="D16" s="9"/>
      <c r="E16" s="9"/>
      <c r="F16" s="9"/>
    </row>
  </sheetData>
  <mergeCells count="2">
    <mergeCell ref="A1:F1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Clara Tavares Freire</dc:creator>
  <cp:keywords/>
  <dc:description/>
  <cp:lastModifiedBy/>
  <cp:revision/>
  <dcterms:created xsi:type="dcterms:W3CDTF">2026-10-23T23:17:04Z</dcterms:created>
  <dcterms:modified xsi:type="dcterms:W3CDTF">2026-10-24T04:43:16Z</dcterms:modified>
  <cp:category/>
  <cp:contentStatus/>
</cp:coreProperties>
</file>