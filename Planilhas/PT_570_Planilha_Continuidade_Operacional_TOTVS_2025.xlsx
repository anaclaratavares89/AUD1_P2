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showInkAnnotation="0" autoCompressPictures="0"/>
  <xr:revisionPtr revIDLastSave="0" documentId="8_{254C11A1-B034-43A7-A70C-C9DFF17E1201}" xr6:coauthVersionLast="47" xr6:coauthVersionMax="47" xr10:uidLastSave="{00000000-0000-0000-0000-000000000000}"/>
  <bookViews>
    <workbookView xWindow="0" yWindow="0" windowWidth="0" windowHeight="0" activeTab="5" xr2:uid="{00000000-000D-0000-FFFF-FFFF00000000}"/>
  </bookViews>
  <sheets>
    <sheet name="Premissas" sheetId="1" r:id="rId1"/>
    <sheet name="Dados_DFP" sheetId="2" r:id="rId2"/>
    <sheet name="Indicadores" sheetId="3" r:id="rId3"/>
    <sheet name="Covenants" sheetId="4" r:id="rId4"/>
    <sheet name="Cenários" sheetId="5" r:id="rId5"/>
    <sheet name="Fontes_Limites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5" l="1"/>
  <c r="F8" i="5"/>
  <c r="E8" i="5"/>
  <c r="D8" i="5"/>
  <c r="C8" i="5"/>
  <c r="B8" i="5"/>
  <c r="G7" i="5"/>
  <c r="F7" i="5"/>
  <c r="E7" i="5"/>
  <c r="D7" i="5"/>
  <c r="C7" i="5"/>
  <c r="B7" i="5"/>
  <c r="G6" i="5"/>
  <c r="F6" i="5"/>
  <c r="E6" i="5"/>
  <c r="D6" i="5"/>
  <c r="C6" i="5"/>
  <c r="B6" i="5"/>
  <c r="G5" i="5"/>
  <c r="F5" i="5"/>
  <c r="E5" i="5"/>
  <c r="D5" i="5"/>
  <c r="C5" i="5"/>
  <c r="B5" i="5"/>
  <c r="G4" i="5"/>
  <c r="F4" i="5"/>
  <c r="E4" i="5"/>
  <c r="D4" i="5"/>
  <c r="C4" i="5"/>
  <c r="B4" i="5"/>
  <c r="C6" i="4"/>
  <c r="B6" i="4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7" i="3"/>
  <c r="D8" i="3" s="1"/>
  <c r="C7" i="3"/>
  <c r="C8" i="3" s="1"/>
  <c r="B7" i="3"/>
  <c r="B8" i="3" s="1"/>
  <c r="D6" i="3"/>
  <c r="C6" i="3"/>
  <c r="B6" i="3"/>
  <c r="D5" i="3"/>
  <c r="C5" i="3"/>
  <c r="B5" i="3"/>
  <c r="D4" i="3"/>
  <c r="C4" i="3"/>
  <c r="B4" i="3"/>
</calcChain>
</file>

<file path=xl/sharedStrings.xml><?xml version="1.0" encoding="utf-8"?>
<sst xmlns="http://schemas.openxmlformats.org/spreadsheetml/2006/main" count="183" uniqueCount="166">
  <si>
    <t>PT-570 | Premissas e critérios</t>
  </si>
  <si>
    <t>Parâmetro</t>
  </si>
  <si>
    <t>Valor</t>
  </si>
  <si>
    <t>Fundamentação / limite</t>
  </si>
  <si>
    <t>Data-base</t>
  </si>
  <si>
    <t>31/12/2025</t>
  </si>
  <si>
    <t>DFP consolidadas TOTVS 2025</t>
  </si>
  <si>
    <t>Data de análise</t>
  </si>
  <si>
    <t>25/10/2026</t>
  </si>
  <si>
    <t>Execução acadêmica retrospectiva</t>
  </si>
  <si>
    <t>Moeda</t>
  </si>
  <si>
    <t>R$ mil</t>
  </si>
  <si>
    <t>Demonstrações publicadas; não converter em R$ sem indicação</t>
  </si>
  <si>
    <t>Materialidade global (R$ mil)</t>
  </si>
  <si>
    <t>PT-320 — parâmetro orientador, não gatilho automático</t>
  </si>
  <si>
    <t>Materialidade execução (R$ mil)</t>
  </si>
  <si>
    <t>PT-320</t>
  </si>
  <si>
    <t>Covenant Dívida líquida / EBITDA ajustado</t>
  </si>
  <si>
    <t>Relatório agente fiduciário 5ª emissão — limite máximo</t>
  </si>
  <si>
    <t>Estresse de queda do FCO</t>
  </si>
  <si>
    <t>Hipótese didática editável: redução de 30%</t>
  </si>
  <si>
    <t>Estresse de aumento dos passivos CP</t>
  </si>
  <si>
    <t>Hipótese didática editável: aumento de 15%</t>
  </si>
  <si>
    <t>Estresse de queda do caixa</t>
  </si>
  <si>
    <t>Hipótese didática editável: redução de 20%</t>
  </si>
  <si>
    <t>Horizonte de análise</t>
  </si>
  <si>
    <t>12 meses ou mais</t>
  </si>
  <si>
    <t>Solicitar projeções da administração; não obtidas</t>
  </si>
  <si>
    <t>Qualidade de evidência</t>
  </si>
  <si>
    <t>Documental e parcial</t>
  </si>
  <si>
    <t>Não substitui fluxo de caixa projetado / escritura integral</t>
  </si>
  <si>
    <t>PT-570 | Dados publicados das DFPs (R$ mil)</t>
  </si>
  <si>
    <t>Conta</t>
  </si>
  <si>
    <t>2023</t>
  </si>
  <si>
    <t>2024</t>
  </si>
  <si>
    <t>2025</t>
  </si>
  <si>
    <t>Origem / referência</t>
  </si>
  <si>
    <t>Ativo total</t>
  </si>
  <si>
    <t>DFP BP Ativo</t>
  </si>
  <si>
    <t>Ativo circulante</t>
  </si>
  <si>
    <t>Passivo circulante</t>
  </si>
  <si>
    <t>DFP BP Passivo</t>
  </si>
  <si>
    <t>Passivo não circulante</t>
  </si>
  <si>
    <t>Patrimônio líquido</t>
  </si>
  <si>
    <t>Caixa e equivalentes</t>
  </si>
  <si>
    <t>Empréstimos / debêntures / arrendamentos CP</t>
  </si>
  <si>
    <t>DFP BP Passivo, conta 2.01.04</t>
  </si>
  <si>
    <t>Empréstimos / debêntures / arrendamentos LP</t>
  </si>
  <si>
    <t>DFP BP Passivo, conta 2.02.01</t>
  </si>
  <si>
    <t>Fluxo operacional</t>
  </si>
  <si>
    <t>DFC 6.01</t>
  </si>
  <si>
    <t>Fluxo investimento</t>
  </si>
  <si>
    <t>DFC 6.02</t>
  </si>
  <si>
    <t>Fluxo financiamento</t>
  </si>
  <si>
    <t>DFC 6.03</t>
  </si>
  <si>
    <t>Receita líquida</t>
  </si>
  <si>
    <t>DRE 3.01</t>
  </si>
  <si>
    <t>Resultado antes financeiro e tributos</t>
  </si>
  <si>
    <t>DRE 3.05 — proxy operacional, não EBITDA</t>
  </si>
  <si>
    <t>Despesas financeiras (valor absoluto)</t>
  </si>
  <si>
    <t>DRE 3.06.02: magnitude absoluta</t>
  </si>
  <si>
    <t>Lucro antes tributos</t>
  </si>
  <si>
    <t>DRE 3.07</t>
  </si>
  <si>
    <t>Lucro líquido consolidado</t>
  </si>
  <si>
    <t>DRE 3.11</t>
  </si>
  <si>
    <t>Depreciação e amortização DFC</t>
  </si>
  <si>
    <t>DFC 6.01.01.02 — composição da DFC</t>
  </si>
  <si>
    <t>Intangíveis líquidos</t>
  </si>
  <si>
    <t>PT-570 | Indicadores financeiros (calculados)</t>
  </si>
  <si>
    <t>Indicador</t>
  </si>
  <si>
    <t>Definição / ressalva</t>
  </si>
  <si>
    <t>Liquidez corrente</t>
  </si>
  <si>
    <t>Ativo circulante / passivo circulante</t>
  </si>
  <si>
    <t>Capital circulante líquido</t>
  </si>
  <si>
    <t>Ativo circulante - passivo circulante (R$ mil)</t>
  </si>
  <si>
    <t>Endividamento geral</t>
  </si>
  <si>
    <t>Passivos exigíveis / ativo total</t>
  </si>
  <si>
    <t>Dívida financeira bruta</t>
  </si>
  <si>
    <t>Empréstimos, debêntures e arrendamentos CP + LP</t>
  </si>
  <si>
    <t>Dívida financeira líquida simplificada</t>
  </si>
  <si>
    <t>Dívida bruta menos caixa (NÃO igual ao covenant)</t>
  </si>
  <si>
    <t>Fluxo operacional / dívida financeira CP</t>
  </si>
  <si>
    <t>Proxy de cobertura; FCO anual / dívida CP, sem correspondência temporal perfeita</t>
  </si>
  <si>
    <t>Resultado operacional / despesa financeira</t>
  </si>
  <si>
    <t>Proxy não contratual de cobertura (EBIT/despesa financeira)</t>
  </si>
  <si>
    <t>FCO / receita</t>
  </si>
  <si>
    <t>Conversão de vendas em fluxo de caixa operacional</t>
  </si>
  <si>
    <t>Caixa / passivo circulante</t>
  </si>
  <si>
    <t>Cobertura imediata simplificada</t>
  </si>
  <si>
    <t>FCO / fluxo investimento absoluto</t>
  </si>
  <si>
    <t>Não presume que todos os investimentos são recorrentes</t>
  </si>
  <si>
    <t>PT-570 | Verificação documental do covenant</t>
  </si>
  <si>
    <t>Item</t>
  </si>
  <si>
    <t>30/06/2025</t>
  </si>
  <si>
    <t>30/12/2025</t>
  </si>
  <si>
    <t>Fonte / interpretação</t>
  </si>
  <si>
    <t>Dívida líquida / EBITDA ajustado</t>
  </si>
  <si>
    <t>Agente fiduciário 2025, p. 2; índice CONTRATUAL</t>
  </si>
  <si>
    <t>Limite máximo</t>
  </si>
  <si>
    <t>Agente fiduciário 2025, p. 2</t>
  </si>
  <si>
    <t>Folga em pontos de múltiplo</t>
  </si>
  <si>
    <t>Limite menos índice; não reflete headroom monetário</t>
  </si>
  <si>
    <t>Resultado informado</t>
  </si>
  <si>
    <t>Ok</t>
  </si>
  <si>
    <t>Agente fiduciário, p. 2; não é teste independente</t>
  </si>
  <si>
    <t>Vencimento</t>
  </si>
  <si>
    <t>19/07/2031</t>
  </si>
  <si>
    <t>5ª emissão, p. 1</t>
  </si>
  <si>
    <t>Primeira amortização principal</t>
  </si>
  <si>
    <t>19/07/2028</t>
  </si>
  <si>
    <t>5ª emissão, p. 2</t>
  </si>
  <si>
    <t>Remuneração</t>
  </si>
  <si>
    <t>CDI + 0,95% a.a.</t>
  </si>
  <si>
    <t>Escritura / memória de cálculo</t>
  </si>
  <si>
    <t>Não recebida</t>
  </si>
  <si>
    <t>Pendente para reexecutar covenant</t>
  </si>
  <si>
    <t>PT-570 | Estresse estático didático — NÃO é previsão de caixa</t>
  </si>
  <si>
    <t>Cenário</t>
  </si>
  <si>
    <t>Caixa (R$ mil)</t>
  </si>
  <si>
    <t>Passivo CP (R$ mil)</t>
  </si>
  <si>
    <t>FCO anual (R$ mil)</t>
  </si>
  <si>
    <t>Caixa / PC</t>
  </si>
  <si>
    <t>FCO / PC</t>
  </si>
  <si>
    <t>Natureza</t>
  </si>
  <si>
    <t>Base em 31/12/2025</t>
  </si>
  <si>
    <t>Dados DFP 2025</t>
  </si>
  <si>
    <t>Queda do caixa</t>
  </si>
  <si>
    <t>Redução de 20% do caixa; demais valores constantes</t>
  </si>
  <si>
    <t>Aumento do passivo CP</t>
  </si>
  <si>
    <t>Aumento de 15% do passivo; demais constantes</t>
  </si>
  <si>
    <t>Queda FCO</t>
  </si>
  <si>
    <t>Redução de 30% do FCO; não projeta tempo / sazonalidade</t>
  </si>
  <si>
    <t>Combinado</t>
  </si>
  <si>
    <t>Três choques simultâneos; só ilustração</t>
  </si>
  <si>
    <t>PT-570 | Fontes, cautelas e reprodução</t>
  </si>
  <si>
    <t>Ref.</t>
  </si>
  <si>
    <t>Fonte / item</t>
  </si>
  <si>
    <t>Interpretação e limitações</t>
  </si>
  <si>
    <t>DOC-01</t>
  </si>
  <si>
    <t>Balanço, DRE, DFC comparativos 2023–2025. Valores em R$ mil.</t>
  </si>
  <si>
    <t>DOC-02</t>
  </si>
  <si>
    <t>Notas às DFP 2025 e relatório auditor</t>
  </si>
  <si>
    <t>Divulgações de dívida, liquidez, riscos e continuidade.</t>
  </si>
  <si>
    <t>DOC-03</t>
  </si>
  <si>
    <t>Relatório Oliveira Trust — 5ª emissão 2025, pp.1–4</t>
  </si>
  <si>
    <t>Condições, pagamentos e índice do covenant; cálculo do agente baseado em informações da emissora.</t>
  </si>
  <si>
    <t>DOC-04</t>
  </si>
  <si>
    <t>Fato Relevante 6ª emissão, 06/01/2026</t>
  </si>
  <si>
    <t>Captação aprovada de R$ 3 bi, após data-base; não confundir aprovação com ingresso em caixa em 2025.</t>
  </si>
  <si>
    <t>DOC-05</t>
  </si>
  <si>
    <t>Fato Relevante Dimensa, 02/02/2026</t>
  </si>
  <si>
    <t>Contrato de venda, fechamento condicional; não projetar recebimento sem comprovação.</t>
  </si>
  <si>
    <t>PT-520</t>
  </si>
  <si>
    <t>Procedimentos analíticos</t>
  </si>
  <si>
    <t>Indicadores históricos contextualizam oscilações, mas não são projeção.</t>
  </si>
  <si>
    <t>PT-560</t>
  </si>
  <si>
    <t>Eventos subsequentes</t>
  </si>
  <si>
    <t>Marcos temporais e impactos potenciais da 6ª emissão / Dimensa.</t>
  </si>
  <si>
    <t>Materialidade</t>
  </si>
  <si>
    <t>R$ 52.098,9 mil global; R$ 36.469,23 mil para execução.</t>
  </si>
  <si>
    <t>LIMITAÇÃO</t>
  </si>
  <si>
    <t>Projeções e covenants completos ausentes</t>
  </si>
  <si>
    <t>Não é possível concluir independentemente se existe ou não incerteza relevante sobre continuidade.</t>
  </si>
  <si>
    <t>REPRODUÇÃO</t>
  </si>
  <si>
    <t>Células com fórmulas nas abas Indicadores, Covenants e Cenarios</t>
  </si>
  <si>
    <t>Células com dados publicados em Dados_DFP e hipóteses acadêmicas em Premissas.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</si>
</sst>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"/>
    <numFmt numFmtId="165" formatCode="#,##0.00;[Red]\(#,##0.00\)"/>
    <numFmt numFmtId="166" formatCode="0.00\x"/>
  </numFmts>
  <fonts count="3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0"/>
      </patternFill>
    </fill>
    <fill>
      <patternFill patternType="solid">
        <fgColor rgb="FF2457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9" fontId="0" fillId="0" borderId="0" xfId="0" applyNumberFormat="1"/>
    <xf numFmtId="4" fontId="0" fillId="0" borderId="0" xfId="0" applyNumberForma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pane ySplit="3" topLeftCell="A10" activePane="bottomLeft" state="frozen"/>
      <selection pane="bottomLeft"/>
    </sheetView>
  </sheetViews>
  <sheetFormatPr defaultRowHeight="15"/>
  <cols>
    <col min="1" max="1" width="36" customWidth="1"/>
    <col min="2" max="2" width="28" customWidth="1"/>
    <col min="3" max="3" width="75" customWidth="1"/>
  </cols>
  <sheetData>
    <row r="1" spans="1:3" ht="33.950000000000003" customHeight="1">
      <c r="A1" s="8" t="s">
        <v>0</v>
      </c>
      <c r="B1" s="8"/>
      <c r="C1" s="8"/>
    </row>
    <row r="3" spans="1:3" ht="26.1" customHeight="1">
      <c r="A3" s="1" t="s">
        <v>1</v>
      </c>
      <c r="B3" s="1" t="s">
        <v>2</v>
      </c>
      <c r="C3" s="1" t="s">
        <v>3</v>
      </c>
    </row>
    <row r="4" spans="1:3" ht="24" customHeight="1">
      <c r="A4" t="s">
        <v>4</v>
      </c>
      <c r="B4" t="s">
        <v>5</v>
      </c>
      <c r="C4" t="s">
        <v>6</v>
      </c>
    </row>
    <row r="5" spans="1:3" ht="24" customHeight="1">
      <c r="A5" t="s">
        <v>7</v>
      </c>
      <c r="B5" t="s">
        <v>8</v>
      </c>
      <c r="C5" t="s">
        <v>9</v>
      </c>
    </row>
    <row r="6" spans="1:3" ht="24" customHeight="1">
      <c r="A6" t="s">
        <v>10</v>
      </c>
      <c r="B6" t="s">
        <v>11</v>
      </c>
      <c r="C6" t="s">
        <v>12</v>
      </c>
    </row>
    <row r="7" spans="1:3" ht="24" customHeight="1">
      <c r="A7" t="s">
        <v>13</v>
      </c>
      <c r="B7" s="7">
        <v>52098.9</v>
      </c>
      <c r="C7" t="s">
        <v>14</v>
      </c>
    </row>
    <row r="8" spans="1:3" ht="24" customHeight="1">
      <c r="A8" t="s">
        <v>15</v>
      </c>
      <c r="B8" s="7">
        <v>36469.230000000003</v>
      </c>
      <c r="C8" t="s">
        <v>16</v>
      </c>
    </row>
    <row r="9" spans="1:3" ht="24" customHeight="1">
      <c r="A9" t="s">
        <v>17</v>
      </c>
      <c r="B9">
        <v>4</v>
      </c>
      <c r="C9" t="s">
        <v>18</v>
      </c>
    </row>
    <row r="10" spans="1:3" ht="24" customHeight="1">
      <c r="A10" t="s">
        <v>19</v>
      </c>
      <c r="B10" s="6">
        <v>0.3</v>
      </c>
      <c r="C10" t="s">
        <v>20</v>
      </c>
    </row>
    <row r="11" spans="1:3" ht="24" customHeight="1">
      <c r="A11" t="s">
        <v>21</v>
      </c>
      <c r="B11" s="6">
        <v>0.15</v>
      </c>
      <c r="C11" t="s">
        <v>22</v>
      </c>
    </row>
    <row r="12" spans="1:3" ht="24" customHeight="1">
      <c r="A12" t="s">
        <v>23</v>
      </c>
      <c r="B12" s="6">
        <v>0.2</v>
      </c>
      <c r="C12" t="s">
        <v>24</v>
      </c>
    </row>
    <row r="13" spans="1:3" ht="24" customHeight="1">
      <c r="A13" t="s">
        <v>25</v>
      </c>
      <c r="B13" t="s">
        <v>26</v>
      </c>
      <c r="C13" t="s">
        <v>27</v>
      </c>
    </row>
    <row r="14" spans="1:3" ht="24" customHeight="1">
      <c r="A14" t="s">
        <v>28</v>
      </c>
      <c r="B14" t="s">
        <v>29</v>
      </c>
      <c r="C14" t="s">
        <v>30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9" customWidth="1"/>
    <col min="2" max="4" width="20" customWidth="1"/>
    <col min="5" max="5" width="61" customWidth="1"/>
  </cols>
  <sheetData>
    <row r="1" spans="1:5" ht="33.950000000000003" customHeight="1">
      <c r="A1" s="8" t="s">
        <v>31</v>
      </c>
      <c r="B1" s="8"/>
      <c r="C1" s="8"/>
      <c r="D1" s="8"/>
      <c r="E1" s="8"/>
    </row>
    <row r="3" spans="1:5" ht="26.1" customHeight="1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</row>
    <row r="4" spans="1:5" ht="24" customHeight="1">
      <c r="A4" t="s">
        <v>37</v>
      </c>
      <c r="B4" s="2">
        <v>8828860</v>
      </c>
      <c r="C4" s="2">
        <v>8531721</v>
      </c>
      <c r="D4" s="2">
        <v>9452171</v>
      </c>
      <c r="E4" t="s">
        <v>38</v>
      </c>
    </row>
    <row r="5" spans="1:5" ht="24" customHeight="1">
      <c r="A5" t="s">
        <v>39</v>
      </c>
      <c r="B5" s="2">
        <v>3906298</v>
      </c>
      <c r="C5" s="2">
        <v>2763558</v>
      </c>
      <c r="D5" s="2">
        <v>3875770</v>
      </c>
      <c r="E5" t="s">
        <v>38</v>
      </c>
    </row>
    <row r="6" spans="1:5" ht="24" customHeight="1">
      <c r="A6" t="s">
        <v>40</v>
      </c>
      <c r="B6" s="2">
        <v>1348729</v>
      </c>
      <c r="C6" s="2">
        <v>1144197</v>
      </c>
      <c r="D6" s="2">
        <v>1978222</v>
      </c>
      <c r="E6" t="s">
        <v>41</v>
      </c>
    </row>
    <row r="7" spans="1:5" ht="24" customHeight="1">
      <c r="A7" t="s">
        <v>42</v>
      </c>
      <c r="B7" s="2">
        <v>2467460</v>
      </c>
      <c r="C7" s="2">
        <v>2400403</v>
      </c>
      <c r="D7" s="2">
        <v>2030492</v>
      </c>
      <c r="E7" t="s">
        <v>41</v>
      </c>
    </row>
    <row r="8" spans="1:5" ht="24" customHeight="1">
      <c r="A8" t="s">
        <v>43</v>
      </c>
      <c r="B8" s="2">
        <v>5012671</v>
      </c>
      <c r="C8" s="2">
        <v>4987121</v>
      </c>
      <c r="D8" s="2">
        <v>5443457</v>
      </c>
      <c r="E8" t="s">
        <v>41</v>
      </c>
    </row>
    <row r="9" spans="1:5" ht="24" customHeight="1">
      <c r="A9" t="s">
        <v>44</v>
      </c>
      <c r="B9" s="2">
        <v>3129162</v>
      </c>
      <c r="C9" s="2">
        <v>1942162</v>
      </c>
      <c r="D9" s="2">
        <v>1785703</v>
      </c>
      <c r="E9" t="s">
        <v>38</v>
      </c>
    </row>
    <row r="10" spans="1:5" ht="24" customHeight="1">
      <c r="A10" t="s">
        <v>45</v>
      </c>
      <c r="B10" s="2">
        <v>145909</v>
      </c>
      <c r="C10" s="2">
        <v>120978</v>
      </c>
      <c r="D10" s="2">
        <v>142572</v>
      </c>
      <c r="E10" t="s">
        <v>46</v>
      </c>
    </row>
    <row r="11" spans="1:5" ht="24" customHeight="1">
      <c r="A11" t="s">
        <v>47</v>
      </c>
      <c r="B11" s="2">
        <v>1598158</v>
      </c>
      <c r="C11" s="2">
        <v>1540571</v>
      </c>
      <c r="D11" s="2">
        <v>1693710</v>
      </c>
      <c r="E11" t="s">
        <v>48</v>
      </c>
    </row>
    <row r="12" spans="1:5" ht="24" customHeight="1">
      <c r="A12" t="s">
        <v>49</v>
      </c>
      <c r="B12" s="2">
        <v>890109</v>
      </c>
      <c r="C12" s="2">
        <v>1032985</v>
      </c>
      <c r="D12" s="2">
        <v>1203183</v>
      </c>
      <c r="E12" t="s">
        <v>50</v>
      </c>
    </row>
    <row r="13" spans="1:5" ht="24" customHeight="1">
      <c r="A13" t="s">
        <v>51</v>
      </c>
      <c r="B13" s="2">
        <v>58016</v>
      </c>
      <c r="C13" s="2">
        <v>-1253473</v>
      </c>
      <c r="D13" s="2">
        <v>-939333</v>
      </c>
      <c r="E13" t="s">
        <v>52</v>
      </c>
    </row>
    <row r="14" spans="1:5" ht="24" customHeight="1">
      <c r="A14" t="s">
        <v>53</v>
      </c>
      <c r="B14" s="2">
        <v>-554728</v>
      </c>
      <c r="C14" s="2">
        <v>-966512</v>
      </c>
      <c r="D14" s="2">
        <v>-420309</v>
      </c>
      <c r="E14" t="s">
        <v>54</v>
      </c>
    </row>
    <row r="15" spans="1:5" ht="24" customHeight="1">
      <c r="A15" t="s">
        <v>55</v>
      </c>
      <c r="B15" s="2">
        <v>4180368</v>
      </c>
      <c r="C15" s="2">
        <v>4914747</v>
      </c>
      <c r="D15" s="2">
        <v>5771867</v>
      </c>
      <c r="E15" t="s">
        <v>56</v>
      </c>
    </row>
    <row r="16" spans="1:5" ht="24" customHeight="1">
      <c r="A16" t="s">
        <v>57</v>
      </c>
      <c r="B16" s="2">
        <v>675111</v>
      </c>
      <c r="C16" s="2">
        <v>851983</v>
      </c>
      <c r="D16" s="2">
        <v>1122728</v>
      </c>
      <c r="E16" t="s">
        <v>58</v>
      </c>
    </row>
    <row r="17" spans="1:5" ht="24" customHeight="1">
      <c r="A17" t="s">
        <v>59</v>
      </c>
      <c r="B17" s="2">
        <v>365624</v>
      </c>
      <c r="C17" s="2">
        <v>310771</v>
      </c>
      <c r="D17" s="2">
        <v>350837</v>
      </c>
      <c r="E17" t="s">
        <v>60</v>
      </c>
    </row>
    <row r="18" spans="1:5" ht="24" customHeight="1">
      <c r="A18" t="s">
        <v>61</v>
      </c>
      <c r="B18" s="2">
        <v>591478</v>
      </c>
      <c r="C18" s="2">
        <v>759433</v>
      </c>
      <c r="D18" s="2">
        <v>1041978</v>
      </c>
      <c r="E18" t="s">
        <v>62</v>
      </c>
    </row>
    <row r="19" spans="1:5" ht="24" customHeight="1">
      <c r="A19" t="s">
        <v>63</v>
      </c>
      <c r="B19" s="2">
        <v>764435</v>
      </c>
      <c r="C19" s="2">
        <v>735443</v>
      </c>
      <c r="D19" s="2">
        <v>920742</v>
      </c>
      <c r="E19" t="s">
        <v>64</v>
      </c>
    </row>
    <row r="20" spans="1:5" ht="24" customHeight="1">
      <c r="A20" t="s">
        <v>65</v>
      </c>
      <c r="B20" s="2">
        <v>274481</v>
      </c>
      <c r="C20" s="2">
        <v>313263</v>
      </c>
      <c r="D20" s="2">
        <v>341084</v>
      </c>
      <c r="E20" t="s">
        <v>66</v>
      </c>
    </row>
    <row r="21" spans="1:5" ht="24" customHeight="1">
      <c r="A21" t="s">
        <v>67</v>
      </c>
      <c r="B21" s="2">
        <v>3671227</v>
      </c>
      <c r="C21" s="2">
        <v>4261225</v>
      </c>
      <c r="D21" s="2">
        <v>3904253</v>
      </c>
      <c r="E21" t="s">
        <v>38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7" customWidth="1"/>
    <col min="2" max="4" width="20" customWidth="1"/>
    <col min="5" max="5" width="92" customWidth="1"/>
  </cols>
  <sheetData>
    <row r="1" spans="1:5" ht="33.950000000000003" customHeight="1">
      <c r="A1" s="8" t="s">
        <v>68</v>
      </c>
      <c r="B1" s="8"/>
      <c r="C1" s="8"/>
      <c r="D1" s="8"/>
      <c r="E1" s="8"/>
    </row>
    <row r="3" spans="1:5" ht="26.1" customHeight="1">
      <c r="A3" s="1" t="s">
        <v>69</v>
      </c>
      <c r="B3" s="1" t="s">
        <v>33</v>
      </c>
      <c r="C3" s="1" t="s">
        <v>34</v>
      </c>
      <c r="D3" s="1" t="s">
        <v>35</v>
      </c>
      <c r="E3" s="1" t="s">
        <v>70</v>
      </c>
    </row>
    <row r="4" spans="1:5" ht="24" customHeight="1">
      <c r="A4" t="s">
        <v>71</v>
      </c>
      <c r="B4" s="3">
        <f>Dados_DFP!B5/Dados_DFP!B6</f>
        <v>2.896280868877291</v>
      </c>
      <c r="C4" s="3">
        <f>Dados_DFP!C5/Dados_DFP!C6</f>
        <v>2.4152816341941117</v>
      </c>
      <c r="D4" s="3">
        <f>Dados_DFP!D5/Dados_DFP!D6</f>
        <v>1.9592189349830302</v>
      </c>
      <c r="E4" t="s">
        <v>72</v>
      </c>
    </row>
    <row r="5" spans="1:5" ht="24" customHeight="1">
      <c r="A5" t="s">
        <v>73</v>
      </c>
      <c r="B5" s="3">
        <f>Dados_DFP!B5-Dados_DFP!B6</f>
        <v>2557569</v>
      </c>
      <c r="C5" s="3">
        <f>Dados_DFP!C5-Dados_DFP!C6</f>
        <v>1619361</v>
      </c>
      <c r="D5" s="3">
        <f>Dados_DFP!D5-Dados_DFP!D6</f>
        <v>1897548</v>
      </c>
      <c r="E5" t="s">
        <v>74</v>
      </c>
    </row>
    <row r="6" spans="1:5" ht="24" customHeight="1">
      <c r="A6" t="s">
        <v>75</v>
      </c>
      <c r="B6" s="3">
        <f>(Dados_DFP!B6+Dados_DFP!B7)/Dados_DFP!B4</f>
        <v>0.43224028923326452</v>
      </c>
      <c r="C6" s="3">
        <f>(Dados_DFP!C6+Dados_DFP!C7)/Dados_DFP!C4</f>
        <v>0.41546131196742137</v>
      </c>
      <c r="D6" s="3">
        <f>(Dados_DFP!D6+Dados_DFP!D7)/Dados_DFP!D4</f>
        <v>0.42410510770488602</v>
      </c>
      <c r="E6" t="s">
        <v>76</v>
      </c>
    </row>
    <row r="7" spans="1:5" ht="24" customHeight="1">
      <c r="A7" t="s">
        <v>77</v>
      </c>
      <c r="B7" s="3">
        <f>Dados_DFP!B10+Dados_DFP!B11</f>
        <v>1744067</v>
      </c>
      <c r="C7" s="3">
        <f>Dados_DFP!C10+Dados_DFP!C11</f>
        <v>1661549</v>
      </c>
      <c r="D7" s="3">
        <f>Dados_DFP!D10+Dados_DFP!D11</f>
        <v>1836282</v>
      </c>
      <c r="E7" t="s">
        <v>78</v>
      </c>
    </row>
    <row r="8" spans="1:5" ht="24" customHeight="1">
      <c r="A8" t="s">
        <v>79</v>
      </c>
      <c r="B8" s="3">
        <f>B7-Dados_DFP!B9</f>
        <v>-1385095</v>
      </c>
      <c r="C8" s="3">
        <f>C7-Dados_DFP!C9</f>
        <v>-280613</v>
      </c>
      <c r="D8" s="3">
        <f>D7-Dados_DFP!D9</f>
        <v>50579</v>
      </c>
      <c r="E8" t="s">
        <v>80</v>
      </c>
    </row>
    <row r="9" spans="1:5" ht="24" customHeight="1">
      <c r="A9" t="s">
        <v>81</v>
      </c>
      <c r="B9" s="3">
        <f>Dados_DFP!B12/Dados_DFP!B10</f>
        <v>6.1004393149154614</v>
      </c>
      <c r="C9" s="3">
        <f>Dados_DFP!C12/Dados_DFP!C10</f>
        <v>8.5386185918100814</v>
      </c>
      <c r="D9" s="3">
        <f>Dados_DFP!D12/Dados_DFP!D10</f>
        <v>8.439125494486996</v>
      </c>
      <c r="E9" t="s">
        <v>82</v>
      </c>
    </row>
    <row r="10" spans="1:5" ht="24" customHeight="1">
      <c r="A10" t="s">
        <v>83</v>
      </c>
      <c r="B10" s="3">
        <f>Dados_DFP!B16/Dados_DFP!B17</f>
        <v>1.846462486051244</v>
      </c>
      <c r="C10" s="3">
        <f>Dados_DFP!C16/Dados_DFP!C17</f>
        <v>2.741513847817203</v>
      </c>
      <c r="D10" s="3">
        <f>Dados_DFP!D16/Dados_DFP!D17</f>
        <v>3.2001413761946429</v>
      </c>
      <c r="E10" t="s">
        <v>84</v>
      </c>
    </row>
    <row r="11" spans="1:5" ht="24" customHeight="1">
      <c r="A11" t="s">
        <v>85</v>
      </c>
      <c r="B11" s="3">
        <f>Dados_DFP!B12/Dados_DFP!B15</f>
        <v>0.21292599120460209</v>
      </c>
      <c r="C11" s="3">
        <f>Dados_DFP!C12/Dados_DFP!C15</f>
        <v>0.21018070716559775</v>
      </c>
      <c r="D11" s="3">
        <f>Dados_DFP!D12/Dados_DFP!D15</f>
        <v>0.20845646651248201</v>
      </c>
      <c r="E11" t="s">
        <v>86</v>
      </c>
    </row>
    <row r="12" spans="1:5" ht="24" customHeight="1">
      <c r="A12" t="s">
        <v>87</v>
      </c>
      <c r="B12" s="3">
        <f>Dados_DFP!B9/Dados_DFP!B6</f>
        <v>2.3200820921030094</v>
      </c>
      <c r="C12" s="3">
        <f>Dados_DFP!C9/Dados_DFP!C6</f>
        <v>1.6974017586132457</v>
      </c>
      <c r="D12" s="3">
        <f>Dados_DFP!D9/Dados_DFP!D6</f>
        <v>0.90268079113466537</v>
      </c>
      <c r="E12" t="s">
        <v>88</v>
      </c>
    </row>
    <row r="13" spans="1:5" ht="24" customHeight="1">
      <c r="A13" t="s">
        <v>89</v>
      </c>
      <c r="B13" s="3">
        <f>Dados_DFP!B12/ABS(Dados_DFP!B13)</f>
        <v>15.342474489795919</v>
      </c>
      <c r="C13" s="3">
        <f>Dados_DFP!C12/ABS(Dados_DFP!C13)</f>
        <v>0.82409832521322757</v>
      </c>
      <c r="D13" s="3">
        <f>Dados_DFP!D12/ABS(Dados_DFP!D13)</f>
        <v>1.2808908023033365</v>
      </c>
      <c r="E13" t="s">
        <v>90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0" customWidth="1"/>
    <col min="2" max="3" width="29" customWidth="1"/>
    <col min="4" max="4" width="80" customWidth="1"/>
  </cols>
  <sheetData>
    <row r="1" spans="1:4" ht="33.950000000000003" customHeight="1">
      <c r="A1" s="8" t="s">
        <v>91</v>
      </c>
      <c r="B1" s="8"/>
      <c r="C1" s="8"/>
      <c r="D1" s="8"/>
    </row>
    <row r="3" spans="1:4" ht="26.1" customHeight="1">
      <c r="A3" s="1" t="s">
        <v>92</v>
      </c>
      <c r="B3" s="1" t="s">
        <v>93</v>
      </c>
      <c r="C3" s="1" t="s">
        <v>94</v>
      </c>
      <c r="D3" s="1" t="s">
        <v>95</v>
      </c>
    </row>
    <row r="4" spans="1:4" ht="24" customHeight="1">
      <c r="A4" t="s">
        <v>96</v>
      </c>
      <c r="B4">
        <v>-0.19</v>
      </c>
      <c r="C4">
        <v>-0.01</v>
      </c>
      <c r="D4" t="s">
        <v>97</v>
      </c>
    </row>
    <row r="5" spans="1:4" ht="24" customHeight="1">
      <c r="A5" t="s">
        <v>98</v>
      </c>
      <c r="B5">
        <v>4</v>
      </c>
      <c r="C5">
        <v>4</v>
      </c>
      <c r="D5" t="s">
        <v>99</v>
      </c>
    </row>
    <row r="6" spans="1:4" ht="24" customHeight="1">
      <c r="A6" t="s">
        <v>100</v>
      </c>
      <c r="B6">
        <f>B5-B4</f>
        <v>4.1900000000000004</v>
      </c>
      <c r="C6">
        <f>C5-C4</f>
        <v>4.01</v>
      </c>
      <c r="D6" t="s">
        <v>101</v>
      </c>
    </row>
    <row r="7" spans="1:4" ht="24" customHeight="1">
      <c r="A7" t="s">
        <v>102</v>
      </c>
      <c r="B7" t="s">
        <v>103</v>
      </c>
      <c r="C7" t="s">
        <v>103</v>
      </c>
      <c r="D7" t="s">
        <v>104</v>
      </c>
    </row>
    <row r="8" spans="1:4" ht="24" customHeight="1">
      <c r="A8" t="s">
        <v>105</v>
      </c>
      <c r="B8" t="s">
        <v>106</v>
      </c>
      <c r="C8" t="s">
        <v>106</v>
      </c>
      <c r="D8" t="s">
        <v>107</v>
      </c>
    </row>
    <row r="9" spans="1:4" ht="24" customHeight="1">
      <c r="A9" t="s">
        <v>108</v>
      </c>
      <c r="B9" t="s">
        <v>109</v>
      </c>
      <c r="C9" t="s">
        <v>109</v>
      </c>
      <c r="D9" t="s">
        <v>110</v>
      </c>
    </row>
    <row r="10" spans="1:4" ht="24" customHeight="1">
      <c r="A10" t="s">
        <v>111</v>
      </c>
      <c r="B10" t="s">
        <v>112</v>
      </c>
      <c r="C10" t="s">
        <v>112</v>
      </c>
      <c r="D10" t="s">
        <v>110</v>
      </c>
    </row>
    <row r="11" spans="1:4" ht="24" customHeight="1">
      <c r="A11" t="s">
        <v>113</v>
      </c>
      <c r="B11" t="s">
        <v>114</v>
      </c>
      <c r="C11" t="s">
        <v>114</v>
      </c>
      <c r="D11" t="s">
        <v>115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pane ySplit="3" topLeftCell="A4" activePane="bottomLeft" state="frozen"/>
      <selection pane="bottomLeft" activeCell="C8" sqref="C8"/>
    </sheetView>
  </sheetViews>
  <sheetFormatPr defaultRowHeight="15"/>
  <cols>
    <col min="1" max="1" width="37" customWidth="1"/>
    <col min="2" max="2" width="22" customWidth="1"/>
    <col min="3" max="4" width="24" customWidth="1"/>
    <col min="5" max="5" width="20" customWidth="1"/>
    <col min="6" max="7" width="18" customWidth="1"/>
    <col min="8" max="8" width="83" customWidth="1"/>
  </cols>
  <sheetData>
    <row r="1" spans="1:8" ht="33.950000000000003" customHeight="1">
      <c r="A1" s="8" t="s">
        <v>116</v>
      </c>
      <c r="B1" s="8"/>
      <c r="C1" s="8"/>
      <c r="D1" s="8"/>
      <c r="E1" s="8"/>
      <c r="F1" s="8"/>
      <c r="G1" s="8"/>
      <c r="H1" s="8"/>
    </row>
    <row r="3" spans="1:8" ht="26.1" customHeight="1">
      <c r="A3" s="1" t="s">
        <v>117</v>
      </c>
      <c r="B3" s="1" t="s">
        <v>118</v>
      </c>
      <c r="C3" s="1" t="s">
        <v>119</v>
      </c>
      <c r="D3" s="1" t="s">
        <v>120</v>
      </c>
      <c r="E3" s="1" t="s">
        <v>71</v>
      </c>
      <c r="F3" s="1" t="s">
        <v>121</v>
      </c>
      <c r="G3" s="1" t="s">
        <v>122</v>
      </c>
      <c r="H3" s="1" t="s">
        <v>123</v>
      </c>
    </row>
    <row r="4" spans="1:8" ht="24" customHeight="1">
      <c r="A4" t="s">
        <v>124</v>
      </c>
      <c r="B4" s="4">
        <f>Dados_DFP!D9</f>
        <v>1785703</v>
      </c>
      <c r="C4" s="4">
        <f>Dados_DFP!D6</f>
        <v>1978222</v>
      </c>
      <c r="D4" s="4">
        <f>Dados_DFP!D12</f>
        <v>1203183</v>
      </c>
      <c r="E4" s="5">
        <f>Dados_DFP!D5/Dados_DFP!D6</f>
        <v>1.9592189349830302</v>
      </c>
      <c r="F4" s="5">
        <f>Dados_DFP!D9/Dados_DFP!D6</f>
        <v>0.90268079113466537</v>
      </c>
      <c r="G4" s="5">
        <f>Dados_DFP!D12/Dados_DFP!D6</f>
        <v>0.60821434601374369</v>
      </c>
      <c r="H4" t="s">
        <v>125</v>
      </c>
    </row>
    <row r="5" spans="1:8" ht="24" customHeight="1">
      <c r="A5" t="s">
        <v>126</v>
      </c>
      <c r="B5" s="4">
        <f>Dados_DFP!D9*(1-Premissas!B12)</f>
        <v>1428562.4000000001</v>
      </c>
      <c r="C5" s="4">
        <f>Dados_DFP!D6</f>
        <v>1978222</v>
      </c>
      <c r="D5" s="4">
        <f>Dados_DFP!D12</f>
        <v>1203183</v>
      </c>
      <c r="E5" s="5">
        <f>Dados_DFP!D5/Dados_DFP!D6</f>
        <v>1.9592189349830302</v>
      </c>
      <c r="F5" s="5">
        <f>Dados_DFP!D9*(1-Premissas!B12)/Dados_DFP!D6</f>
        <v>0.72214463290773234</v>
      </c>
      <c r="G5" s="5">
        <f>Dados_DFP!D12/Dados_DFP!D6</f>
        <v>0.60821434601374369</v>
      </c>
      <c r="H5" t="s">
        <v>127</v>
      </c>
    </row>
    <row r="6" spans="1:8" ht="24" customHeight="1">
      <c r="A6" t="s">
        <v>128</v>
      </c>
      <c r="B6" s="4">
        <f>Dados_DFP!D9</f>
        <v>1785703</v>
      </c>
      <c r="C6" s="4">
        <f>Dados_DFP!D6*(1+Premissas!B11)</f>
        <v>2274955.2999999998</v>
      </c>
      <c r="D6" s="4">
        <f>Dados_DFP!D12</f>
        <v>1203183</v>
      </c>
      <c r="E6" s="5">
        <f>Dados_DFP!D5/Dados_DFP!D6*(1+Premissas!B11)</f>
        <v>2.2531017752304847</v>
      </c>
      <c r="F6" s="5">
        <f>Dados_DFP!D9/Dados_DFP!D6*(1+Premissas!B11)</f>
        <v>1.0380829098048652</v>
      </c>
      <c r="G6" s="5">
        <f>Dados_DFP!D12/Dados_DFP!D6*(1+Premissas!B11)</f>
        <v>0.69944649791580515</v>
      </c>
      <c r="H6" t="s">
        <v>129</v>
      </c>
    </row>
    <row r="7" spans="1:8" ht="24" customHeight="1">
      <c r="A7" t="s">
        <v>130</v>
      </c>
      <c r="B7" s="4">
        <f>Dados_DFP!D9</f>
        <v>1785703</v>
      </c>
      <c r="C7" s="4">
        <f>Dados_DFP!D6</f>
        <v>1978222</v>
      </c>
      <c r="D7" s="4">
        <f>Dados_DFP!D12*(1-Premissas!B10)</f>
        <v>842228.1</v>
      </c>
      <c r="E7" s="5">
        <f>Dados_DFP!D5/Dados_DFP!D6</f>
        <v>1.9592189349830302</v>
      </c>
      <c r="F7" s="5">
        <f>Dados_DFP!D9/Dados_DFP!D6</f>
        <v>0.90268079113466537</v>
      </c>
      <c r="G7" s="5">
        <f>Dados_DFP!D12*(1-Premissas!B10)/Dados_DFP!D6</f>
        <v>0.42575004220962054</v>
      </c>
      <c r="H7" t="s">
        <v>131</v>
      </c>
    </row>
    <row r="8" spans="1:8" ht="24" customHeight="1">
      <c r="A8" t="s">
        <v>132</v>
      </c>
      <c r="B8" s="4">
        <f>Dados_DFP!D9*(1-Premissas!B12)</f>
        <v>1428562.4000000001</v>
      </c>
      <c r="C8" s="4">
        <f>Dados_DFP!D6*(1+Premissas!B11)</f>
        <v>2274955.2999999998</v>
      </c>
      <c r="D8" s="4">
        <f>Dados_DFP!D12*(1-Premissas!B10)</f>
        <v>842228.1</v>
      </c>
      <c r="E8" s="5">
        <f>Dados_DFP!D5/Dados_DFP!D6*(1+Premissas!B11)</f>
        <v>2.2531017752304847</v>
      </c>
      <c r="F8" s="5">
        <f>Dados_DFP!D9*(1-Premissas!B12)/Dados_DFP!D6*(1+Premissas!B11)</f>
        <v>0.83046632784389218</v>
      </c>
      <c r="G8" s="5">
        <f>Dados_DFP!D12*(1-Premissas!B10)/Dados_DFP!D6*(1+Premissas!B11)</f>
        <v>0.48961254854106356</v>
      </c>
      <c r="H8" t="s">
        <v>133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4" customWidth="1"/>
    <col min="2" max="2" width="52" customWidth="1"/>
    <col min="3" max="3" width="100" customWidth="1"/>
  </cols>
  <sheetData>
    <row r="1" spans="1:3" ht="33.950000000000003" customHeight="1">
      <c r="A1" s="8" t="s">
        <v>134</v>
      </c>
      <c r="B1" s="8"/>
      <c r="C1" s="8"/>
    </row>
    <row r="3" spans="1:3" ht="26.1" customHeight="1">
      <c r="A3" s="1" t="s">
        <v>135</v>
      </c>
      <c r="B3" s="1" t="s">
        <v>136</v>
      </c>
      <c r="C3" s="1" t="s">
        <v>137</v>
      </c>
    </row>
    <row r="4" spans="1:3" ht="24" customHeight="1">
      <c r="A4" t="s">
        <v>138</v>
      </c>
      <c r="B4" t="s">
        <v>6</v>
      </c>
      <c r="C4" t="s">
        <v>139</v>
      </c>
    </row>
    <row r="5" spans="1:3" ht="24" customHeight="1">
      <c r="A5" t="s">
        <v>140</v>
      </c>
      <c r="B5" t="s">
        <v>141</v>
      </c>
      <c r="C5" t="s">
        <v>142</v>
      </c>
    </row>
    <row r="6" spans="1:3" ht="24" customHeight="1">
      <c r="A6" t="s">
        <v>143</v>
      </c>
      <c r="B6" t="s">
        <v>144</v>
      </c>
      <c r="C6" t="s">
        <v>145</v>
      </c>
    </row>
    <row r="7" spans="1:3" ht="24" customHeight="1">
      <c r="A7" t="s">
        <v>146</v>
      </c>
      <c r="B7" t="s">
        <v>147</v>
      </c>
      <c r="C7" t="s">
        <v>148</v>
      </c>
    </row>
    <row r="8" spans="1:3" ht="24" customHeight="1">
      <c r="A8" t="s">
        <v>149</v>
      </c>
      <c r="B8" t="s">
        <v>150</v>
      </c>
      <c r="C8" t="s">
        <v>151</v>
      </c>
    </row>
    <row r="9" spans="1:3" ht="24" customHeight="1">
      <c r="A9" t="s">
        <v>152</v>
      </c>
      <c r="B9" t="s">
        <v>153</v>
      </c>
      <c r="C9" t="s">
        <v>154</v>
      </c>
    </row>
    <row r="10" spans="1:3" ht="24" customHeight="1">
      <c r="A10" t="s">
        <v>155</v>
      </c>
      <c r="B10" t="s">
        <v>156</v>
      </c>
      <c r="C10" t="s">
        <v>157</v>
      </c>
    </row>
    <row r="11" spans="1:3" ht="24" customHeight="1">
      <c r="A11" t="s">
        <v>16</v>
      </c>
      <c r="B11" t="s">
        <v>158</v>
      </c>
      <c r="C11" t="s">
        <v>159</v>
      </c>
    </row>
    <row r="12" spans="1:3" ht="24" customHeight="1">
      <c r="A12" t="s">
        <v>160</v>
      </c>
      <c r="B12" t="s">
        <v>161</v>
      </c>
      <c r="C12" t="s">
        <v>162</v>
      </c>
    </row>
    <row r="13" spans="1:3" ht="24" customHeight="1">
      <c r="A13" t="s">
        <v>163</v>
      </c>
      <c r="B13" t="s">
        <v>164</v>
      </c>
      <c r="C13" t="s">
        <v>165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2026-10-25T21:48:03Z</dcterms:created>
  <dcterms:modified xsi:type="dcterms:W3CDTF">2026-10-25T21:48:03Z</dcterms:modified>
  <cp:category/>
  <cp:contentStatus/>
</cp:coreProperties>
</file>