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1DAEE591-7985-4340-8BDA-8C4C87260D3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Premissas" sheetId="1" r:id="rId1"/>
    <sheet name="Dados_DFP" sheetId="2" r:id="rId2"/>
    <sheet name="Análises" sheetId="3" r:id="rId3"/>
    <sheet name="Indicadores" sheetId="4" r:id="rId4"/>
    <sheet name="Guia_Font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C11" i="4"/>
  <c r="E11" i="4" s="1"/>
  <c r="B11" i="4"/>
  <c r="D10" i="4"/>
  <c r="C10" i="4"/>
  <c r="E10" i="4" s="1"/>
  <c r="B10" i="4"/>
  <c r="D9" i="4"/>
  <c r="C9" i="4"/>
  <c r="E9" i="4" s="1"/>
  <c r="B9" i="4"/>
  <c r="D8" i="4"/>
  <c r="C8" i="4"/>
  <c r="E8" i="4" s="1"/>
  <c r="B8" i="4"/>
  <c r="D7" i="4"/>
  <c r="C7" i="4"/>
  <c r="E7" i="4" s="1"/>
  <c r="B7" i="4"/>
  <c r="D6" i="4"/>
  <c r="C6" i="4"/>
  <c r="E6" i="4" s="1"/>
  <c r="B6" i="4"/>
  <c r="D5" i="4"/>
  <c r="C5" i="4"/>
  <c r="E5" i="4" s="1"/>
  <c r="B5" i="4"/>
  <c r="D4" i="4"/>
  <c r="C4" i="4"/>
  <c r="E4" i="4" s="1"/>
  <c r="B4" i="4"/>
  <c r="D21" i="3"/>
  <c r="C21" i="3"/>
  <c r="F21" i="3" s="1"/>
  <c r="B21" i="3"/>
  <c r="A21" i="3"/>
  <c r="D20" i="3"/>
  <c r="C20" i="3"/>
  <c r="F20" i="3" s="1"/>
  <c r="B20" i="3"/>
  <c r="A20" i="3"/>
  <c r="D19" i="3"/>
  <c r="C19" i="3"/>
  <c r="F19" i="3" s="1"/>
  <c r="B19" i="3"/>
  <c r="A19" i="3"/>
  <c r="D18" i="3"/>
  <c r="C18" i="3"/>
  <c r="F18" i="3" s="1"/>
  <c r="B18" i="3"/>
  <c r="A18" i="3"/>
  <c r="D17" i="3"/>
  <c r="C17" i="3"/>
  <c r="F17" i="3" s="1"/>
  <c r="B17" i="3"/>
  <c r="A17" i="3"/>
  <c r="D16" i="3"/>
  <c r="C16" i="3"/>
  <c r="F16" i="3" s="1"/>
  <c r="B16" i="3"/>
  <c r="A16" i="3"/>
  <c r="D15" i="3"/>
  <c r="C15" i="3"/>
  <c r="F15" i="3" s="1"/>
  <c r="B15" i="3"/>
  <c r="A15" i="3"/>
  <c r="D14" i="3"/>
  <c r="C14" i="3"/>
  <c r="F14" i="3" s="1"/>
  <c r="B14" i="3"/>
  <c r="A14" i="3"/>
  <c r="D13" i="3"/>
  <c r="C13" i="3"/>
  <c r="F13" i="3" s="1"/>
  <c r="B13" i="3"/>
  <c r="A13" i="3"/>
  <c r="D12" i="3"/>
  <c r="C12" i="3"/>
  <c r="F12" i="3" s="1"/>
  <c r="B12" i="3"/>
  <c r="A12" i="3"/>
  <c r="D11" i="3"/>
  <c r="C11" i="3"/>
  <c r="F11" i="3" s="1"/>
  <c r="B11" i="3"/>
  <c r="A11" i="3"/>
  <c r="D10" i="3"/>
  <c r="C10" i="3"/>
  <c r="F10" i="3" s="1"/>
  <c r="B10" i="3"/>
  <c r="A10" i="3"/>
  <c r="D9" i="3"/>
  <c r="C9" i="3"/>
  <c r="F9" i="3" s="1"/>
  <c r="B9" i="3"/>
  <c r="A9" i="3"/>
  <c r="D8" i="3"/>
  <c r="C8" i="3"/>
  <c r="F8" i="3" s="1"/>
  <c r="B8" i="3"/>
  <c r="A8" i="3"/>
  <c r="D7" i="3"/>
  <c r="C7" i="3"/>
  <c r="F7" i="3" s="1"/>
  <c r="B7" i="3"/>
  <c r="A7" i="3"/>
  <c r="D6" i="3"/>
  <c r="C6" i="3"/>
  <c r="F6" i="3" s="1"/>
  <c r="B6" i="3"/>
  <c r="A6" i="3"/>
  <c r="D5" i="3"/>
  <c r="C5" i="3"/>
  <c r="F5" i="3" s="1"/>
  <c r="B5" i="3"/>
  <c r="A5" i="3"/>
  <c r="D4" i="3"/>
  <c r="C4" i="3"/>
  <c r="F4" i="3" s="1"/>
  <c r="B4" i="3"/>
  <c r="A4" i="3"/>
  <c r="G4" i="3" l="1"/>
  <c r="E4" i="3"/>
  <c r="H4" i="3"/>
  <c r="G5" i="3"/>
  <c r="E5" i="3"/>
  <c r="H5" i="3"/>
  <c r="G6" i="3"/>
  <c r="E6" i="3"/>
  <c r="H6" i="3"/>
  <c r="G7" i="3"/>
  <c r="E7" i="3"/>
  <c r="H7" i="3"/>
  <c r="G8" i="3"/>
  <c r="E8" i="3"/>
  <c r="H8" i="3"/>
  <c r="G9" i="3"/>
  <c r="E9" i="3"/>
  <c r="H9" i="3"/>
  <c r="G10" i="3"/>
  <c r="E10" i="3"/>
  <c r="H10" i="3"/>
  <c r="G11" i="3"/>
  <c r="E11" i="3"/>
  <c r="H11" i="3"/>
  <c r="G12" i="3"/>
  <c r="E12" i="3"/>
  <c r="H12" i="3"/>
  <c r="G13" i="3"/>
  <c r="E13" i="3"/>
  <c r="H13" i="3"/>
  <c r="G14" i="3"/>
  <c r="E14" i="3"/>
  <c r="H14" i="3"/>
  <c r="G15" i="3"/>
  <c r="E15" i="3"/>
  <c r="H15" i="3"/>
  <c r="G16" i="3"/>
  <c r="E16" i="3"/>
  <c r="H16" i="3"/>
  <c r="G17" i="3"/>
  <c r="E17" i="3"/>
  <c r="H17" i="3"/>
  <c r="G18" i="3"/>
  <c r="E18" i="3"/>
  <c r="H18" i="3"/>
  <c r="G19" i="3"/>
  <c r="E19" i="3"/>
  <c r="H19" i="3"/>
  <c r="G20" i="3"/>
  <c r="E20" i="3"/>
  <c r="H20" i="3"/>
  <c r="G21" i="3"/>
  <c r="E21" i="3"/>
  <c r="H21" i="3"/>
  <c r="J21" i="3" l="1"/>
  <c r="K21" i="3" s="1"/>
  <c r="I21" i="3"/>
  <c r="J20" i="3"/>
  <c r="K20" i="3" s="1"/>
  <c r="I20" i="3"/>
  <c r="J19" i="3"/>
  <c r="K19" i="3" s="1"/>
  <c r="I19" i="3"/>
  <c r="J18" i="3"/>
  <c r="K18" i="3" s="1"/>
  <c r="I18" i="3"/>
  <c r="J17" i="3"/>
  <c r="K17" i="3" s="1"/>
  <c r="I17" i="3"/>
  <c r="J16" i="3"/>
  <c r="K16" i="3" s="1"/>
  <c r="I16" i="3"/>
  <c r="J15" i="3"/>
  <c r="K15" i="3" s="1"/>
  <c r="I15" i="3"/>
  <c r="J14" i="3"/>
  <c r="K14" i="3" s="1"/>
  <c r="I14" i="3"/>
  <c r="J13" i="3"/>
  <c r="K13" i="3" s="1"/>
  <c r="I13" i="3"/>
  <c r="J12" i="3"/>
  <c r="K12" i="3" s="1"/>
  <c r="I12" i="3"/>
  <c r="J11" i="3"/>
  <c r="K11" i="3" s="1"/>
  <c r="I11" i="3"/>
  <c r="J10" i="3"/>
  <c r="K10" i="3" s="1"/>
  <c r="I10" i="3"/>
  <c r="J9" i="3"/>
  <c r="K9" i="3" s="1"/>
  <c r="I9" i="3"/>
  <c r="J8" i="3"/>
  <c r="K8" i="3" s="1"/>
  <c r="I8" i="3"/>
  <c r="J7" i="3"/>
  <c r="K7" i="3" s="1"/>
  <c r="I7" i="3"/>
  <c r="J6" i="3"/>
  <c r="K6" i="3" s="1"/>
  <c r="I6" i="3"/>
  <c r="J5" i="3"/>
  <c r="K5" i="3" s="1"/>
  <c r="I5" i="3"/>
  <c r="J4" i="3"/>
  <c r="K4" i="3" s="1"/>
  <c r="I4" i="3"/>
</calcChain>
</file>

<file path=xl/sharedStrings.xml><?xml version="1.0" encoding="utf-8"?>
<sst xmlns="http://schemas.openxmlformats.org/spreadsheetml/2006/main" count="183" uniqueCount="131">
  <si>
    <t>PT-520 | PREMISSAS ACADÊMICAS</t>
  </si>
  <si>
    <t>Premissa</t>
  </si>
  <si>
    <t>Valor</t>
  </si>
  <si>
    <t>Critério</t>
  </si>
  <si>
    <t>Nota</t>
  </si>
  <si>
    <t>Materialidade global (R$ mil)</t>
  </si>
  <si>
    <t>PT-320</t>
  </si>
  <si>
    <t>5% do lucro pré-tributos 2025</t>
  </si>
  <si>
    <t>Materialidade execução (R$ mil)</t>
  </si>
  <si>
    <t>70% da materialidade global</t>
  </si>
  <si>
    <t>Limite percentual - risco ALTO</t>
  </si>
  <si>
    <t>Acadêmico ilustrativo</t>
  </si>
  <si>
    <t>Não é limite NBC TA 520</t>
  </si>
  <si>
    <t>Limite percentual - risco MÉDIO</t>
  </si>
  <si>
    <t>Teto em % da materialidade execução - ALTO</t>
  </si>
  <si>
    <t>Teto R$ mil</t>
  </si>
  <si>
    <t>Teto em % da materialidade execução - MÉDIO</t>
  </si>
  <si>
    <t>Modelo de expectativa</t>
  </si>
  <si>
    <t>Crescimento histórico 2024/2023 aplicado a 2024</t>
  </si>
  <si>
    <t>Modelo acadêmico ex ante</t>
  </si>
  <si>
    <t>Sensível a quebras estruturais e operações descontinuadas</t>
  </si>
  <si>
    <t>Data base</t>
  </si>
  <si>
    <t>31/12/2025</t>
  </si>
  <si>
    <t>DFP consolidada</t>
  </si>
  <si>
    <t>Valores em R$ mil</t>
  </si>
  <si>
    <t>PT-520 | DFP CONSOLIDADA · R$ MIL</t>
  </si>
  <si>
    <t>Conta / indicador</t>
  </si>
  <si>
    <t>2023</t>
  </si>
  <si>
    <t>2024</t>
  </si>
  <si>
    <t>2025</t>
  </si>
  <si>
    <t>Risco / afirmação</t>
  </si>
  <si>
    <t>Prioridade</t>
  </si>
  <si>
    <t>Receita líquida</t>
  </si>
  <si>
    <t>Receita / corte</t>
  </si>
  <si>
    <t>ALTO</t>
  </si>
  <si>
    <t>Custos de serviços</t>
  </si>
  <si>
    <t>Receita / custos</t>
  </si>
  <si>
    <t>Lucro bruto</t>
  </si>
  <si>
    <t>Margens / receita</t>
  </si>
  <si>
    <t>Resultado operacional antes financeiro</t>
  </si>
  <si>
    <t>Estimativas / despesas</t>
  </si>
  <si>
    <t>Lucro antes de tributos</t>
  </si>
  <si>
    <t>Resultado / materialidade</t>
  </si>
  <si>
    <t>Lucro líquido consolidado</t>
  </si>
  <si>
    <t>Desempenho (descontinuadas)</t>
  </si>
  <si>
    <t>Caixa e equivalentes</t>
  </si>
  <si>
    <t>Liquidez / disponibilidade</t>
  </si>
  <si>
    <t>MÉDIO</t>
  </si>
  <si>
    <t>Contas a receber circulantes (líquidas)</t>
  </si>
  <si>
    <t>Receitas / perdas esperadas</t>
  </si>
  <si>
    <t>Ativo circulante</t>
  </si>
  <si>
    <t>Liquidez / classificação</t>
  </si>
  <si>
    <t>Passivo circulante</t>
  </si>
  <si>
    <t>Liquidez / integridade</t>
  </si>
  <si>
    <t>Ativo total</t>
  </si>
  <si>
    <t>Apresentação / classificação</t>
  </si>
  <si>
    <t>Imobilizado</t>
  </si>
  <si>
    <t>Existência / mensuração</t>
  </si>
  <si>
    <t>Intangível sem goodwill</t>
  </si>
  <si>
    <t>Amortização / capitalização</t>
  </si>
  <si>
    <t>Goodwill</t>
  </si>
  <si>
    <t>Impairment / estimativa</t>
  </si>
  <si>
    <t>Intangível total</t>
  </si>
  <si>
    <t>Mensuração / divulgação</t>
  </si>
  <si>
    <t>Patrimônio líquido consolidado</t>
  </si>
  <si>
    <t>Patrimônio / apresentação</t>
  </si>
  <si>
    <t>Provisões não circulantes</t>
  </si>
  <si>
    <t>Provisões / contingências</t>
  </si>
  <si>
    <t>Fornecedores circulantes</t>
  </si>
  <si>
    <t>Integridade / corte</t>
  </si>
  <si>
    <t>PT-520 | EXPECTATIVAS, PRECISÃO E INVESTIGAÇÕES</t>
  </si>
  <si>
    <t>Conta</t>
  </si>
  <si>
    <t>2025 observado</t>
  </si>
  <si>
    <t>Var. 24/23</t>
  </si>
  <si>
    <t>Var. 25/24</t>
  </si>
  <si>
    <t>Expectativa 2025</t>
  </si>
  <si>
    <t>Desvio R$ mil</t>
  </si>
  <si>
    <t>Desvio %</t>
  </si>
  <si>
    <t>Limite R$ mil</t>
  </si>
  <si>
    <t>Triagem</t>
  </si>
  <si>
    <t>Investigação / conclusão</t>
  </si>
  <si>
    <t>Diferença a investigar documentalmente; variação não comprova distorção.</t>
  </si>
  <si>
    <t>PT-520 | INDICADORES E RELAÇÕES · CONSOLIDADO</t>
  </si>
  <si>
    <t>Indicador</t>
  </si>
  <si>
    <t>Variação 25/24</t>
  </si>
  <si>
    <t>Interpretação / limitação</t>
  </si>
  <si>
    <t>Margem bruta</t>
  </si>
  <si>
    <t>Razão calculada com dados publicados; requer análise de composição.</t>
  </si>
  <si>
    <t>Margem operacional</t>
  </si>
  <si>
    <t>Margem líquida</t>
  </si>
  <si>
    <t>Liquidez corrente</t>
  </si>
  <si>
    <t>Contas a receber / receita</t>
  </si>
  <si>
    <t>Intangível / ativo</t>
  </si>
  <si>
    <t>Goodwill / ativo</t>
  </si>
  <si>
    <t>Provisões / passivo circulante</t>
  </si>
  <si>
    <t>PT-520 | FONTES, METODOLOGIA E LIMITAÇÕES</t>
  </si>
  <si>
    <t>Ref.</t>
  </si>
  <si>
    <t>Fonte</t>
  </si>
  <si>
    <t>Aplicação</t>
  </si>
  <si>
    <t>Limitação</t>
  </si>
  <si>
    <t>DOC-01</t>
  </si>
  <si>
    <t>DFP TOTVS S.A. 2025, versão 1, Balanço pp. 1–4, DRE p. 6</t>
  </si>
  <si>
    <t>Séries consolidadas 2023–2025</t>
  </si>
  <si>
    <t>Comparativos 2023–2025 sujeitos a reclassificações/escopo</t>
  </si>
  <si>
    <t>PT-315</t>
  </si>
  <si>
    <t>Identificação e avaliação de riscos</t>
  </si>
  <si>
    <t>Prioridade ALTO/MÉDIO</t>
  </si>
  <si>
    <t>Classificações acadêmicas preliminares</t>
  </si>
  <si>
    <t>Materialidade global R$ 52.098,90 mil; execução R$ 36.469,23 mil</t>
  </si>
  <si>
    <t>Tetos de triagem</t>
  </si>
  <si>
    <t>Teto não equivale a distorção tolerável nem critério NBC</t>
  </si>
  <si>
    <t>PT-330</t>
  </si>
  <si>
    <t>Respostas aos riscos</t>
  </si>
  <si>
    <t>Testes executados/documentais e não executados</t>
  </si>
  <si>
    <t>Sem documentos internos da TOTVS</t>
  </si>
  <si>
    <t>PT-500</t>
  </si>
  <si>
    <t>Evidência de auditoria</t>
  </si>
  <si>
    <t>Limites de fontes públicas</t>
  </si>
  <si>
    <t>Não fornece prova de transações reais</t>
  </si>
  <si>
    <t>PT-510</t>
  </si>
  <si>
    <t>Saldos iniciais</t>
  </si>
  <si>
    <t>Comparabilidade 2024–2025</t>
  </si>
  <si>
    <t>Confrontar reapresentações com DFP 2024 original</t>
  </si>
  <si>
    <t>MÉTODO</t>
  </si>
  <si>
    <t>Expectativa=C2024*(C2024/C2023); diferença=real−expectativa</t>
  </si>
  <si>
    <t>Extrapolação da taxa passada</t>
  </si>
  <si>
    <t>Extrapolação simplificada; não previsão econômica validada</t>
  </si>
  <si>
    <t>STATUS</t>
  </si>
  <si>
    <t>INVESTIGAR quando ABS(desvio)&gt;menor entre % da expectativa e fração da execução</t>
  </si>
  <si>
    <t>Triagem a priori acadêmica</t>
  </si>
  <si>
    <t>Sinalização não significa distorção identificada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</si>
</sst>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3"/>
      </patternFill>
    </fill>
    <fill>
      <patternFill patternType="solid">
        <fgColor rgb="FFDCE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wrapText="1"/>
    </xf>
    <xf numFmtId="164" fontId="0" fillId="0" borderId="0" xfId="0" applyNumberFormat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164" fontId="0" fillId="3" borderId="0" xfId="0" applyNumberFormat="1" applyFill="1"/>
    <xf numFmtId="3" fontId="0" fillId="0" borderId="0" xfId="0" applyNumberFormat="1"/>
    <xf numFmtId="3" fontId="0" fillId="3" borderId="0" xfId="0" applyNumberFormat="1" applyFill="1"/>
    <xf numFmtId="10" fontId="0" fillId="0" borderId="0" xfId="0" applyNumberFormat="1"/>
    <xf numFmtId="10" fontId="0" fillId="3" borderId="0" xfId="0" applyNumberFormat="1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1" fillId="2" borderId="0" xfId="0" applyFont="1" applyFill="1" applyAlignment="1"/>
  </cellXfs>
  <cellStyles count="1">
    <cellStyle name="Normal" xfId="0" builtinId="0"/>
  </cellStyles>
  <dxfs count="1">
    <dxf>
      <font>
        <b/>
        <color rgb="FF9C2222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zoomScaleNormal="100" zoomScaleSheetLayoutView="100" workbookViewId="0"/>
  </sheetViews>
  <sheetFormatPr defaultRowHeight="15"/>
  <cols>
    <col min="1" max="1" width="45" customWidth="1"/>
    <col min="2" max="2" width="32" customWidth="1"/>
    <col min="3" max="3" width="36" customWidth="1"/>
    <col min="4" max="4" width="65" customWidth="1"/>
  </cols>
  <sheetData>
    <row r="1" spans="1:4" ht="33" customHeight="1">
      <c r="A1" s="14" t="s">
        <v>0</v>
      </c>
      <c r="B1" s="14"/>
      <c r="C1" s="14"/>
      <c r="D1" s="14"/>
    </row>
    <row r="3" spans="1:4" ht="33.950000000000003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4" t="s">
        <v>5</v>
      </c>
      <c r="B4" s="5">
        <v>52098.9</v>
      </c>
      <c r="C4" s="4" t="s">
        <v>6</v>
      </c>
      <c r="D4" s="4" t="s">
        <v>7</v>
      </c>
    </row>
    <row r="5" spans="1:4">
      <c r="A5" t="s">
        <v>8</v>
      </c>
      <c r="B5" s="3">
        <v>36469.230000000003</v>
      </c>
      <c r="C5" t="s">
        <v>6</v>
      </c>
      <c r="D5" t="s">
        <v>9</v>
      </c>
    </row>
    <row r="6" spans="1:4">
      <c r="A6" s="4" t="s">
        <v>10</v>
      </c>
      <c r="B6" s="6">
        <v>0.02</v>
      </c>
      <c r="C6" s="4" t="s">
        <v>11</v>
      </c>
      <c r="D6" s="4" t="s">
        <v>12</v>
      </c>
    </row>
    <row r="7" spans="1:4">
      <c r="A7" t="s">
        <v>13</v>
      </c>
      <c r="B7" s="2">
        <v>0.05</v>
      </c>
      <c r="C7" t="s">
        <v>11</v>
      </c>
      <c r="D7" t="s">
        <v>12</v>
      </c>
    </row>
    <row r="8" spans="1:4">
      <c r="A8" s="4" t="s">
        <v>14</v>
      </c>
      <c r="B8" s="6">
        <v>0.1</v>
      </c>
      <c r="C8" s="4" t="s">
        <v>11</v>
      </c>
      <c r="D8" s="4" t="s">
        <v>15</v>
      </c>
    </row>
    <row r="9" spans="1:4">
      <c r="A9" t="s">
        <v>16</v>
      </c>
      <c r="B9" s="2">
        <v>0.2</v>
      </c>
      <c r="C9" t="s">
        <v>11</v>
      </c>
      <c r="D9" t="s">
        <v>15</v>
      </c>
    </row>
    <row r="10" spans="1:4">
      <c r="A10" s="4" t="s">
        <v>17</v>
      </c>
      <c r="B10" s="4" t="s">
        <v>18</v>
      </c>
      <c r="C10" s="4" t="s">
        <v>19</v>
      </c>
      <c r="D10" s="4" t="s">
        <v>20</v>
      </c>
    </row>
    <row r="11" spans="1:4">
      <c r="A11" t="s">
        <v>21</v>
      </c>
      <c r="B11" t="s">
        <v>22</v>
      </c>
      <c r="C11" t="s">
        <v>23</v>
      </c>
      <c r="D11" t="s">
        <v>24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zoomScaleNormal="100" zoomScaleSheetLayoutView="100" workbookViewId="0"/>
  </sheetViews>
  <sheetFormatPr defaultRowHeight="15"/>
  <cols>
    <col min="1" max="1" width="51" customWidth="1"/>
    <col min="2" max="4" width="17" customWidth="1"/>
    <col min="5" max="5" width="39" customWidth="1"/>
    <col min="6" max="6" width="16" customWidth="1"/>
  </cols>
  <sheetData>
    <row r="1" spans="1:6" ht="33" customHeight="1">
      <c r="A1" s="14" t="s">
        <v>25</v>
      </c>
      <c r="B1" s="14"/>
      <c r="C1" s="14"/>
      <c r="D1" s="14"/>
      <c r="E1" s="14"/>
      <c r="F1" s="14"/>
    </row>
    <row r="3" spans="1:6" ht="33.950000000000003" customHeight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</row>
    <row r="4" spans="1:6">
      <c r="A4" s="4" t="s">
        <v>32</v>
      </c>
      <c r="B4" s="8">
        <v>4180368</v>
      </c>
      <c r="C4" s="8">
        <v>4914747</v>
      </c>
      <c r="D4" s="8">
        <v>5771867</v>
      </c>
      <c r="E4" s="4" t="s">
        <v>33</v>
      </c>
      <c r="F4" s="4" t="s">
        <v>34</v>
      </c>
    </row>
    <row r="5" spans="1:6">
      <c r="A5" t="s">
        <v>35</v>
      </c>
      <c r="B5" s="7">
        <v>1205006</v>
      </c>
      <c r="C5" s="7">
        <v>1458672</v>
      </c>
      <c r="D5" s="7">
        <v>1716326</v>
      </c>
      <c r="E5" t="s">
        <v>36</v>
      </c>
      <c r="F5" t="s">
        <v>34</v>
      </c>
    </row>
    <row r="6" spans="1:6">
      <c r="A6" s="4" t="s">
        <v>37</v>
      </c>
      <c r="B6" s="8">
        <v>2975362</v>
      </c>
      <c r="C6" s="8">
        <v>3456075</v>
      </c>
      <c r="D6" s="8">
        <v>4055541</v>
      </c>
      <c r="E6" s="4" t="s">
        <v>38</v>
      </c>
      <c r="F6" s="4" t="s">
        <v>34</v>
      </c>
    </row>
    <row r="7" spans="1:6">
      <c r="A7" t="s">
        <v>39</v>
      </c>
      <c r="B7" s="7">
        <v>675111</v>
      </c>
      <c r="C7" s="7">
        <v>851983</v>
      </c>
      <c r="D7" s="7">
        <v>1122728</v>
      </c>
      <c r="E7" t="s">
        <v>40</v>
      </c>
      <c r="F7" t="s">
        <v>34</v>
      </c>
    </row>
    <row r="8" spans="1:6">
      <c r="A8" s="4" t="s">
        <v>41</v>
      </c>
      <c r="B8" s="8">
        <v>591478</v>
      </c>
      <c r="C8" s="8">
        <v>759433</v>
      </c>
      <c r="D8" s="8">
        <v>1041978</v>
      </c>
      <c r="E8" s="4" t="s">
        <v>42</v>
      </c>
      <c r="F8" s="4" t="s">
        <v>34</v>
      </c>
    </row>
    <row r="9" spans="1:6">
      <c r="A9" t="s">
        <v>43</v>
      </c>
      <c r="B9" s="7">
        <v>764435</v>
      </c>
      <c r="C9" s="7">
        <v>735443</v>
      </c>
      <c r="D9" s="7">
        <v>920742</v>
      </c>
      <c r="E9" t="s">
        <v>44</v>
      </c>
      <c r="F9" t="s">
        <v>34</v>
      </c>
    </row>
    <row r="10" spans="1:6">
      <c r="A10" s="4" t="s">
        <v>45</v>
      </c>
      <c r="B10" s="8">
        <v>3129162</v>
      </c>
      <c r="C10" s="8">
        <v>1942162</v>
      </c>
      <c r="D10" s="8">
        <v>1785703</v>
      </c>
      <c r="E10" s="4" t="s">
        <v>46</v>
      </c>
      <c r="F10" s="4" t="s">
        <v>47</v>
      </c>
    </row>
    <row r="11" spans="1:6">
      <c r="A11" t="s">
        <v>48</v>
      </c>
      <c r="B11" s="7">
        <v>538528</v>
      </c>
      <c r="C11" s="7">
        <v>563328</v>
      </c>
      <c r="D11" s="7">
        <v>639136</v>
      </c>
      <c r="E11" t="s">
        <v>49</v>
      </c>
      <c r="F11" t="s">
        <v>34</v>
      </c>
    </row>
    <row r="12" spans="1:6">
      <c r="A12" s="4" t="s">
        <v>50</v>
      </c>
      <c r="B12" s="8">
        <v>3906298</v>
      </c>
      <c r="C12" s="8">
        <v>2763558</v>
      </c>
      <c r="D12" s="8">
        <v>3875770</v>
      </c>
      <c r="E12" s="4" t="s">
        <v>51</v>
      </c>
      <c r="F12" s="4" t="s">
        <v>47</v>
      </c>
    </row>
    <row r="13" spans="1:6">
      <c r="A13" t="s">
        <v>52</v>
      </c>
      <c r="B13" s="7">
        <v>1348729</v>
      </c>
      <c r="C13" s="7">
        <v>1144197</v>
      </c>
      <c r="D13" s="7">
        <v>1978222</v>
      </c>
      <c r="E13" t="s">
        <v>53</v>
      </c>
      <c r="F13" t="s">
        <v>47</v>
      </c>
    </row>
    <row r="14" spans="1:6">
      <c r="A14" s="4" t="s">
        <v>54</v>
      </c>
      <c r="B14" s="8">
        <v>8828860</v>
      </c>
      <c r="C14" s="8">
        <v>8531721</v>
      </c>
      <c r="D14" s="8">
        <v>9452171</v>
      </c>
      <c r="E14" s="4" t="s">
        <v>55</v>
      </c>
      <c r="F14" s="4" t="s">
        <v>47</v>
      </c>
    </row>
    <row r="15" spans="1:6">
      <c r="A15" t="s">
        <v>56</v>
      </c>
      <c r="B15" s="7">
        <v>413486</v>
      </c>
      <c r="C15" s="7">
        <v>399215</v>
      </c>
      <c r="D15" s="7">
        <v>553190</v>
      </c>
      <c r="E15" t="s">
        <v>57</v>
      </c>
      <c r="F15" t="s">
        <v>47</v>
      </c>
    </row>
    <row r="16" spans="1:6">
      <c r="A16" s="4" t="s">
        <v>58</v>
      </c>
      <c r="B16" s="8">
        <v>718822</v>
      </c>
      <c r="C16" s="8">
        <v>879430</v>
      </c>
      <c r="D16" s="8">
        <v>737114</v>
      </c>
      <c r="E16" s="4" t="s">
        <v>59</v>
      </c>
      <c r="F16" s="4" t="s">
        <v>34</v>
      </c>
    </row>
    <row r="17" spans="1:6">
      <c r="A17" t="s">
        <v>60</v>
      </c>
      <c r="B17" s="7">
        <v>2952405</v>
      </c>
      <c r="C17" s="7">
        <v>3381795</v>
      </c>
      <c r="D17" s="7">
        <v>3167139</v>
      </c>
      <c r="E17" t="s">
        <v>61</v>
      </c>
      <c r="F17" t="s">
        <v>34</v>
      </c>
    </row>
    <row r="18" spans="1:6">
      <c r="A18" s="4" t="s">
        <v>62</v>
      </c>
      <c r="B18" s="8">
        <v>3671227</v>
      </c>
      <c r="C18" s="8">
        <v>4261225</v>
      </c>
      <c r="D18" s="8">
        <v>3904253</v>
      </c>
      <c r="E18" s="4" t="s">
        <v>63</v>
      </c>
      <c r="F18" s="4" t="s">
        <v>34</v>
      </c>
    </row>
    <row r="19" spans="1:6">
      <c r="A19" t="s">
        <v>64</v>
      </c>
      <c r="B19" s="7">
        <v>5012671</v>
      </c>
      <c r="C19" s="7">
        <v>4987121</v>
      </c>
      <c r="D19" s="7">
        <v>5443457</v>
      </c>
      <c r="E19" t="s">
        <v>65</v>
      </c>
      <c r="F19" t="s">
        <v>47</v>
      </c>
    </row>
    <row r="20" spans="1:6">
      <c r="A20" s="4" t="s">
        <v>66</v>
      </c>
      <c r="B20" s="8">
        <v>111990</v>
      </c>
      <c r="C20" s="8">
        <v>106272</v>
      </c>
      <c r="D20" s="8">
        <v>106763</v>
      </c>
      <c r="E20" s="4" t="s">
        <v>67</v>
      </c>
      <c r="F20" s="4" t="s">
        <v>34</v>
      </c>
    </row>
    <row r="21" spans="1:6">
      <c r="A21" t="s">
        <v>68</v>
      </c>
      <c r="B21" s="7">
        <v>155266</v>
      </c>
      <c r="C21" s="7">
        <v>211971</v>
      </c>
      <c r="D21" s="7">
        <v>220761</v>
      </c>
      <c r="E21" t="s">
        <v>69</v>
      </c>
      <c r="F21" t="s">
        <v>47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showGridLines="0" zoomScaleNormal="100" zoomScaleSheetLayoutView="100" workbookViewId="0"/>
  </sheetViews>
  <sheetFormatPr defaultRowHeight="15"/>
  <cols>
    <col min="1" max="1" width="47" customWidth="1"/>
    <col min="2" max="3" width="15" customWidth="1"/>
    <col min="4" max="4" width="18" customWidth="1"/>
    <col min="5" max="6" width="15" customWidth="1"/>
    <col min="7" max="7" width="20" customWidth="1"/>
    <col min="8" max="8" width="18" customWidth="1"/>
    <col min="9" max="9" width="14" customWidth="1"/>
    <col min="10" max="10" width="18" customWidth="1"/>
    <col min="11" max="11" width="21" customWidth="1"/>
    <col min="12" max="12" width="77" customWidth="1"/>
  </cols>
  <sheetData>
    <row r="1" spans="1:12" ht="33" customHeight="1">
      <c r="A1" s="14" t="s">
        <v>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33.950000000000003" customHeight="1">
      <c r="A3" s="1" t="s">
        <v>71</v>
      </c>
      <c r="B3" s="1" t="s">
        <v>27</v>
      </c>
      <c r="C3" s="1" t="s">
        <v>28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80</v>
      </c>
    </row>
    <row r="4" spans="1:12">
      <c r="A4" s="4" t="str">
        <f>Dados_DFP!A4</f>
        <v>Receita líquida</v>
      </c>
      <c r="B4" s="8">
        <f>Dados_DFP!B4</f>
        <v>4180368</v>
      </c>
      <c r="C4" s="8">
        <f>Dados_DFP!C4</f>
        <v>4914747</v>
      </c>
      <c r="D4" s="8">
        <f>Dados_DFP!D4</f>
        <v>5771867</v>
      </c>
      <c r="E4" s="10">
        <f>IF(B4=0,"",C4/B4-1)</f>
        <v>0.17567329000700416</v>
      </c>
      <c r="F4" s="10">
        <f>IF(C4=0,"",D4/C4-1)</f>
        <v>0.17439758343613621</v>
      </c>
      <c r="G4" s="5">
        <f>IF(B4=0,C4,C4*(C4/B4))</f>
        <v>5778136.7750420533</v>
      </c>
      <c r="H4" s="5">
        <f>D4-G4</f>
        <v>-6269.7750420533121</v>
      </c>
      <c r="I4" s="10">
        <f>IF(G4=0,"",H4/G4)</f>
        <v>-1.0850859517785784E-3</v>
      </c>
      <c r="J4" s="5">
        <f>MIN(ABS(G4)*IF(Dados_DFP!F4="ALTO",Premissas!$B$6,Premissas!$B$7),Premissas!$B$5*IF(Dados_DFP!F4="ALTO",Premissas!$B$8,Premissas!$B$9))</f>
        <v>3646.9230000000007</v>
      </c>
      <c r="K4" s="4" t="str">
        <f>IF(ABS(H4)&gt;J4,"INVESTIGAR","DENTRO DO LIMITE")</f>
        <v>INVESTIGAR</v>
      </c>
      <c r="L4" s="11" t="s">
        <v>81</v>
      </c>
    </row>
    <row r="5" spans="1:12">
      <c r="A5" t="str">
        <f>Dados_DFP!A5</f>
        <v>Custos de serviços</v>
      </c>
      <c r="B5" s="7">
        <f>Dados_DFP!B5</f>
        <v>1205006</v>
      </c>
      <c r="C5" s="7">
        <f>Dados_DFP!C5</f>
        <v>1458672</v>
      </c>
      <c r="D5" s="7">
        <f>Dados_DFP!D5</f>
        <v>1716326</v>
      </c>
      <c r="E5" s="9">
        <f>IF(B5=0,"",C5/B5-1)</f>
        <v>0.21051015513615701</v>
      </c>
      <c r="F5" s="9">
        <f>IF(C5=0,"",D5/C5-1)</f>
        <v>0.17663600864347839</v>
      </c>
      <c r="G5" s="3">
        <f>IF(B5=0,C5,C5*(C5/B5))</f>
        <v>1765737.2690127685</v>
      </c>
      <c r="H5" s="3">
        <f>D5-G5</f>
        <v>-49411.26901276852</v>
      </c>
      <c r="I5" s="9">
        <f>IF(G5=0,"",H5/G5)</f>
        <v>-2.7983364161755831E-2</v>
      </c>
      <c r="J5" s="3">
        <f>MIN(ABS(G5)*IF(Dados_DFP!F5="ALTO",Premissas!$B$6,Premissas!$B$7),Premissas!$B$5*IF(Dados_DFP!F5="ALTO",Premissas!$B$8,Premissas!$B$9))</f>
        <v>3646.9230000000007</v>
      </c>
      <c r="K5" t="str">
        <f>IF(ABS(H5)&gt;J5,"INVESTIGAR","DENTRO DO LIMITE")</f>
        <v>INVESTIGAR</v>
      </c>
      <c r="L5" s="12" t="s">
        <v>81</v>
      </c>
    </row>
    <row r="6" spans="1:12">
      <c r="A6" s="4" t="str">
        <f>Dados_DFP!A6</f>
        <v>Lucro bruto</v>
      </c>
      <c r="B6" s="8">
        <f>Dados_DFP!B6</f>
        <v>2975362</v>
      </c>
      <c r="C6" s="8">
        <f>Dados_DFP!C6</f>
        <v>3456075</v>
      </c>
      <c r="D6" s="8">
        <f>Dados_DFP!D6</f>
        <v>4055541</v>
      </c>
      <c r="E6" s="10">
        <f>IF(B6=0,"",C6/B6-1)</f>
        <v>0.16156454239853835</v>
      </c>
      <c r="F6" s="10">
        <f>IF(C6=0,"",D6/C6-1)</f>
        <v>0.17345283305483816</v>
      </c>
      <c r="G6" s="5">
        <f>IF(B6=0,C6,C6*(C6/B6))</f>
        <v>4014454.1758700283</v>
      </c>
      <c r="H6" s="5">
        <f>D6-G6</f>
        <v>41086.824129971676</v>
      </c>
      <c r="I6" s="10">
        <f>IF(G6=0,"",H6/G6)</f>
        <v>1.0234722413058103E-2</v>
      </c>
      <c r="J6" s="5">
        <f>MIN(ABS(G6)*IF(Dados_DFP!F6="ALTO",Premissas!$B$6,Premissas!$B$7),Premissas!$B$5*IF(Dados_DFP!F6="ALTO",Premissas!$B$8,Premissas!$B$9))</f>
        <v>3646.9230000000007</v>
      </c>
      <c r="K6" s="4" t="str">
        <f>IF(ABS(H6)&gt;J6,"INVESTIGAR","DENTRO DO LIMITE")</f>
        <v>INVESTIGAR</v>
      </c>
      <c r="L6" s="11" t="s">
        <v>81</v>
      </c>
    </row>
    <row r="7" spans="1:12">
      <c r="A7" t="str">
        <f>Dados_DFP!A7</f>
        <v>Resultado operacional antes financeiro</v>
      </c>
      <c r="B7" s="7">
        <f>Dados_DFP!B7</f>
        <v>675111</v>
      </c>
      <c r="C7" s="7">
        <f>Dados_DFP!C7</f>
        <v>851983</v>
      </c>
      <c r="D7" s="7">
        <f>Dados_DFP!D7</f>
        <v>1122728</v>
      </c>
      <c r="E7" s="9">
        <f>IF(B7=0,"",C7/B7-1)</f>
        <v>0.26198950987319125</v>
      </c>
      <c r="F7" s="9">
        <f>IF(C7=0,"",D7/C7-1)</f>
        <v>0.31778216232014023</v>
      </c>
      <c r="G7" s="3">
        <f>IF(B7=0,C7,C7*(C7/B7))</f>
        <v>1075193.6085902911</v>
      </c>
      <c r="H7" s="3">
        <f>D7-G7</f>
        <v>47534.391409708885</v>
      </c>
      <c r="I7" s="9">
        <f>IF(G7=0,"",H7/G7)</f>
        <v>4.4210076241089476E-2</v>
      </c>
      <c r="J7" s="3">
        <f>MIN(ABS(G7)*IF(Dados_DFP!F7="ALTO",Premissas!$B$6,Premissas!$B$7),Premissas!$B$5*IF(Dados_DFP!F7="ALTO",Premissas!$B$8,Premissas!$B$9))</f>
        <v>3646.9230000000007</v>
      </c>
      <c r="K7" t="str">
        <f>IF(ABS(H7)&gt;J7,"INVESTIGAR","DENTRO DO LIMITE")</f>
        <v>INVESTIGAR</v>
      </c>
      <c r="L7" s="12" t="s">
        <v>81</v>
      </c>
    </row>
    <row r="8" spans="1:12">
      <c r="A8" s="4" t="str">
        <f>Dados_DFP!A8</f>
        <v>Lucro antes de tributos</v>
      </c>
      <c r="B8" s="8">
        <f>Dados_DFP!B8</f>
        <v>591478</v>
      </c>
      <c r="C8" s="8">
        <f>Dados_DFP!C8</f>
        <v>759433</v>
      </c>
      <c r="D8" s="8">
        <f>Dados_DFP!D8</f>
        <v>1041978</v>
      </c>
      <c r="E8" s="10">
        <f>IF(B8=0,"",C8/B8-1)</f>
        <v>0.2839581522896879</v>
      </c>
      <c r="F8" s="10">
        <f>IF(C8=0,"",D8/C8-1)</f>
        <v>0.37204730371211148</v>
      </c>
      <c r="G8" s="5">
        <f>IF(B8=0,C8,C8*(C8/B8))</f>
        <v>975080.1914678145</v>
      </c>
      <c r="H8" s="5">
        <f>D8-G8</f>
        <v>66897.808532185503</v>
      </c>
      <c r="I8" s="10">
        <f>IF(G8=0,"",H8/G8)</f>
        <v>6.860749415028361E-2</v>
      </c>
      <c r="J8" s="5">
        <f>MIN(ABS(G8)*IF(Dados_DFP!F8="ALTO",Premissas!$B$6,Premissas!$B$7),Premissas!$B$5*IF(Dados_DFP!F8="ALTO",Premissas!$B$8,Premissas!$B$9))</f>
        <v>3646.9230000000007</v>
      </c>
      <c r="K8" s="4" t="str">
        <f>IF(ABS(H8)&gt;J8,"INVESTIGAR","DENTRO DO LIMITE")</f>
        <v>INVESTIGAR</v>
      </c>
      <c r="L8" s="11" t="s">
        <v>81</v>
      </c>
    </row>
    <row r="9" spans="1:12">
      <c r="A9" t="str">
        <f>Dados_DFP!A9</f>
        <v>Lucro líquido consolidado</v>
      </c>
      <c r="B9" s="7">
        <f>Dados_DFP!B9</f>
        <v>764435</v>
      </c>
      <c r="C9" s="7">
        <f>Dados_DFP!C9</f>
        <v>735443</v>
      </c>
      <c r="D9" s="7">
        <f>Dados_DFP!D9</f>
        <v>920742</v>
      </c>
      <c r="E9" s="9">
        <f>IF(B9=0,"",C9/B9-1)</f>
        <v>-3.7926049958466046E-2</v>
      </c>
      <c r="F9" s="9">
        <f>IF(C9=0,"",D9/C9-1)</f>
        <v>0.2519556240252474</v>
      </c>
      <c r="G9" s="3">
        <f>IF(B9=0,C9,C9*(C9/B9))</f>
        <v>707550.55204039591</v>
      </c>
      <c r="H9" s="3">
        <f>D9-G9</f>
        <v>213191.44795960409</v>
      </c>
      <c r="I9" s="9">
        <f>IF(G9=0,"",H9/G9)</f>
        <v>0.30130913945980842</v>
      </c>
      <c r="J9" s="3">
        <f>MIN(ABS(G9)*IF(Dados_DFP!F9="ALTO",Premissas!$B$6,Premissas!$B$7),Premissas!$B$5*IF(Dados_DFP!F9="ALTO",Premissas!$B$8,Premissas!$B$9))</f>
        <v>3646.9230000000007</v>
      </c>
      <c r="K9" t="str">
        <f>IF(ABS(H9)&gt;J9,"INVESTIGAR","DENTRO DO LIMITE")</f>
        <v>INVESTIGAR</v>
      </c>
      <c r="L9" s="12" t="s">
        <v>81</v>
      </c>
    </row>
    <row r="10" spans="1:12">
      <c r="A10" s="4" t="str">
        <f>Dados_DFP!A10</f>
        <v>Caixa e equivalentes</v>
      </c>
      <c r="B10" s="8">
        <f>Dados_DFP!B10</f>
        <v>3129162</v>
      </c>
      <c r="C10" s="8">
        <f>Dados_DFP!C10</f>
        <v>1942162</v>
      </c>
      <c r="D10" s="8">
        <f>Dados_DFP!D10</f>
        <v>1785703</v>
      </c>
      <c r="E10" s="10">
        <f>IF(B10=0,"",C10/B10-1)</f>
        <v>-0.37933478675760479</v>
      </c>
      <c r="F10" s="10">
        <f>IF(C10=0,"",D10/C10-1)</f>
        <v>-8.0559191251811102E-2</v>
      </c>
      <c r="G10" s="5">
        <f>IF(B10=0,C10,C10*(C10/B10))</f>
        <v>1205432.3918812769</v>
      </c>
      <c r="H10" s="5">
        <f>D10-G10</f>
        <v>580270.60811872315</v>
      </c>
      <c r="I10" s="10">
        <f>IF(G10=0,"",H10/G10)</f>
        <v>0.48137963773572967</v>
      </c>
      <c r="J10" s="5">
        <f>MIN(ABS(G10)*IF(Dados_DFP!F10="ALTO",Premissas!$B$6,Premissas!$B$7),Premissas!$B$5*IF(Dados_DFP!F10="ALTO",Premissas!$B$8,Premissas!$B$9))</f>
        <v>7293.8460000000014</v>
      </c>
      <c r="K10" s="4" t="str">
        <f>IF(ABS(H10)&gt;J10,"INVESTIGAR","DENTRO DO LIMITE")</f>
        <v>INVESTIGAR</v>
      </c>
      <c r="L10" s="11" t="s">
        <v>81</v>
      </c>
    </row>
    <row r="11" spans="1:12">
      <c r="A11" t="str">
        <f>Dados_DFP!A11</f>
        <v>Contas a receber circulantes (líquidas)</v>
      </c>
      <c r="B11" s="7">
        <f>Dados_DFP!B11</f>
        <v>538528</v>
      </c>
      <c r="C11" s="7">
        <f>Dados_DFP!C11</f>
        <v>563328</v>
      </c>
      <c r="D11" s="7">
        <f>Dados_DFP!D11</f>
        <v>639136</v>
      </c>
      <c r="E11" s="9">
        <f>IF(B11=0,"",C11/B11-1)</f>
        <v>4.6051458791372069E-2</v>
      </c>
      <c r="F11" s="9">
        <f>IF(C11=0,"",D11/C11-1)</f>
        <v>0.13457168825266974</v>
      </c>
      <c r="G11" s="3">
        <f>IF(B11=0,C11,C11*(C11/B11))</f>
        <v>589270.07617802604</v>
      </c>
      <c r="H11" s="3">
        <f>D11-G11</f>
        <v>49865.923821973964</v>
      </c>
      <c r="I11" s="9">
        <f>IF(G11=0,"",H11/G11)</f>
        <v>8.4623207316756446E-2</v>
      </c>
      <c r="J11" s="3">
        <f>MIN(ABS(G11)*IF(Dados_DFP!F11="ALTO",Premissas!$B$6,Premissas!$B$7),Premissas!$B$5*IF(Dados_DFP!F11="ALTO",Premissas!$B$8,Premissas!$B$9))</f>
        <v>3646.9230000000007</v>
      </c>
      <c r="K11" t="str">
        <f>IF(ABS(H11)&gt;J11,"INVESTIGAR","DENTRO DO LIMITE")</f>
        <v>INVESTIGAR</v>
      </c>
      <c r="L11" s="12" t="s">
        <v>81</v>
      </c>
    </row>
    <row r="12" spans="1:12">
      <c r="A12" s="4" t="str">
        <f>Dados_DFP!A12</f>
        <v>Ativo circulante</v>
      </c>
      <c r="B12" s="8">
        <f>Dados_DFP!B12</f>
        <v>3906298</v>
      </c>
      <c r="C12" s="8">
        <f>Dados_DFP!C12</f>
        <v>2763558</v>
      </c>
      <c r="D12" s="8">
        <f>Dados_DFP!D12</f>
        <v>3875770</v>
      </c>
      <c r="E12" s="10">
        <f>IF(B12=0,"",C12/B12-1)</f>
        <v>-0.29253784529495697</v>
      </c>
      <c r="F12" s="10">
        <f>IF(C12=0,"",D12/C12-1)</f>
        <v>0.40245654334014347</v>
      </c>
      <c r="G12" s="5">
        <f>IF(B12=0,C12,C12*(C12/B12))</f>
        <v>1955112.6973323594</v>
      </c>
      <c r="H12" s="5">
        <f>D12-G12</f>
        <v>1920657.3026676406</v>
      </c>
      <c r="I12" s="10">
        <f>IF(G12=0,"",H12/G12)</f>
        <v>0.98237677310789751</v>
      </c>
      <c r="J12" s="5">
        <f>MIN(ABS(G12)*IF(Dados_DFP!F12="ALTO",Premissas!$B$6,Premissas!$B$7),Premissas!$B$5*IF(Dados_DFP!F12="ALTO",Premissas!$B$8,Premissas!$B$9))</f>
        <v>7293.8460000000014</v>
      </c>
      <c r="K12" s="4" t="str">
        <f>IF(ABS(H12)&gt;J12,"INVESTIGAR","DENTRO DO LIMITE")</f>
        <v>INVESTIGAR</v>
      </c>
      <c r="L12" s="11" t="s">
        <v>81</v>
      </c>
    </row>
    <row r="13" spans="1:12">
      <c r="A13" t="str">
        <f>Dados_DFP!A13</f>
        <v>Passivo circulante</v>
      </c>
      <c r="B13" s="7">
        <f>Dados_DFP!B13</f>
        <v>1348729</v>
      </c>
      <c r="C13" s="7">
        <f>Dados_DFP!C13</f>
        <v>1144197</v>
      </c>
      <c r="D13" s="7">
        <f>Dados_DFP!D13</f>
        <v>1978222</v>
      </c>
      <c r="E13" s="9">
        <f>IF(B13=0,"",C13/B13-1)</f>
        <v>-0.15164795893022243</v>
      </c>
      <c r="F13" s="9">
        <f>IF(C13=0,"",D13/C13-1)</f>
        <v>0.72891731056802289</v>
      </c>
      <c r="G13" s="3">
        <f>IF(B13=0,C13,C13*(C13/B13))</f>
        <v>970681.86033591628</v>
      </c>
      <c r="H13" s="3">
        <f>D13-G13</f>
        <v>1007540.1396640837</v>
      </c>
      <c r="I13" s="9">
        <f>IF(G13=0,"",H13/G13)</f>
        <v>1.0379715340672093</v>
      </c>
      <c r="J13" s="3">
        <f>MIN(ABS(G13)*IF(Dados_DFP!F13="ALTO",Premissas!$B$6,Premissas!$B$7),Premissas!$B$5*IF(Dados_DFP!F13="ALTO",Premissas!$B$8,Premissas!$B$9))</f>
        <v>7293.8460000000014</v>
      </c>
      <c r="K13" t="str">
        <f>IF(ABS(H13)&gt;J13,"INVESTIGAR","DENTRO DO LIMITE")</f>
        <v>INVESTIGAR</v>
      </c>
      <c r="L13" s="12" t="s">
        <v>81</v>
      </c>
    </row>
    <row r="14" spans="1:12">
      <c r="A14" s="4" t="str">
        <f>Dados_DFP!A14</f>
        <v>Ativo total</v>
      </c>
      <c r="B14" s="8">
        <f>Dados_DFP!B14</f>
        <v>8828860</v>
      </c>
      <c r="C14" s="8">
        <f>Dados_DFP!C14</f>
        <v>8531721</v>
      </c>
      <c r="D14" s="8">
        <f>Dados_DFP!D14</f>
        <v>9452171</v>
      </c>
      <c r="E14" s="10">
        <f>IF(B14=0,"",C14/B14-1)</f>
        <v>-3.3655420971676953E-2</v>
      </c>
      <c r="F14" s="10">
        <f>IF(C14=0,"",D14/C14-1)</f>
        <v>0.10788561885696923</v>
      </c>
      <c r="G14" s="5">
        <f>IF(B14=0,C14,C14*(C14/B14))</f>
        <v>8244582.338132103</v>
      </c>
      <c r="H14" s="5">
        <f>D14-G14</f>
        <v>1207588.661867897</v>
      </c>
      <c r="I14" s="10">
        <f>IF(G14=0,"",H14/G14)</f>
        <v>0.14647056847048107</v>
      </c>
      <c r="J14" s="5">
        <f>MIN(ABS(G14)*IF(Dados_DFP!F14="ALTO",Premissas!$B$6,Premissas!$B$7),Premissas!$B$5*IF(Dados_DFP!F14="ALTO",Premissas!$B$8,Premissas!$B$9))</f>
        <v>7293.8460000000014</v>
      </c>
      <c r="K14" s="4" t="str">
        <f>IF(ABS(H14)&gt;J14,"INVESTIGAR","DENTRO DO LIMITE")</f>
        <v>INVESTIGAR</v>
      </c>
      <c r="L14" s="11" t="s">
        <v>81</v>
      </c>
    </row>
    <row r="15" spans="1:12">
      <c r="A15" t="str">
        <f>Dados_DFP!A15</f>
        <v>Imobilizado</v>
      </c>
      <c r="B15" s="7">
        <f>Dados_DFP!B15</f>
        <v>413486</v>
      </c>
      <c r="C15" s="7">
        <f>Dados_DFP!C15</f>
        <v>399215</v>
      </c>
      <c r="D15" s="7">
        <f>Dados_DFP!D15</f>
        <v>553190</v>
      </c>
      <c r="E15" s="9">
        <f>IF(B15=0,"",C15/B15-1)</f>
        <v>-3.4513865040170622E-2</v>
      </c>
      <c r="F15" s="9">
        <f>IF(C15=0,"",D15/C15-1)</f>
        <v>0.38569442530967013</v>
      </c>
      <c r="G15" s="3">
        <f>IF(B15=0,C15,C15*(C15/B15))</f>
        <v>385436.54736798827</v>
      </c>
      <c r="H15" s="3">
        <f>D15-G15</f>
        <v>167753.45263201173</v>
      </c>
      <c r="I15" s="9">
        <f>IF(G15=0,"",H15/G15)</f>
        <v>0.43522975124580565</v>
      </c>
      <c r="J15" s="3">
        <f>MIN(ABS(G15)*IF(Dados_DFP!F15="ALTO",Premissas!$B$6,Premissas!$B$7),Premissas!$B$5*IF(Dados_DFP!F15="ALTO",Premissas!$B$8,Premissas!$B$9))</f>
        <v>7293.8460000000014</v>
      </c>
      <c r="K15" t="str">
        <f>IF(ABS(H15)&gt;J15,"INVESTIGAR","DENTRO DO LIMITE")</f>
        <v>INVESTIGAR</v>
      </c>
      <c r="L15" s="12" t="s">
        <v>81</v>
      </c>
    </row>
    <row r="16" spans="1:12">
      <c r="A16" s="4" t="str">
        <f>Dados_DFP!A16</f>
        <v>Intangível sem goodwill</v>
      </c>
      <c r="B16" s="8">
        <f>Dados_DFP!B16</f>
        <v>718822</v>
      </c>
      <c r="C16" s="8">
        <f>Dados_DFP!C16</f>
        <v>879430</v>
      </c>
      <c r="D16" s="8">
        <f>Dados_DFP!D16</f>
        <v>737114</v>
      </c>
      <c r="E16" s="10">
        <f>IF(B16=0,"",C16/B16-1)</f>
        <v>0.223432226615212</v>
      </c>
      <c r="F16" s="10">
        <f>IF(C16=0,"",D16/C16-1)</f>
        <v>-0.16182754738864946</v>
      </c>
      <c r="G16" s="5">
        <f>IF(B16=0,C16,C16*(C16/B16))</f>
        <v>1075923.0030522158</v>
      </c>
      <c r="H16" s="5">
        <f>D16-G16</f>
        <v>-338809.00305221579</v>
      </c>
      <c r="I16" s="10">
        <f>IF(G16=0,"",H16/G16)</f>
        <v>-0.31490078945340011</v>
      </c>
      <c r="J16" s="5">
        <f>MIN(ABS(G16)*IF(Dados_DFP!F16="ALTO",Premissas!$B$6,Premissas!$B$7),Premissas!$B$5*IF(Dados_DFP!F16="ALTO",Premissas!$B$8,Premissas!$B$9))</f>
        <v>3646.9230000000007</v>
      </c>
      <c r="K16" s="4" t="str">
        <f>IF(ABS(H16)&gt;J16,"INVESTIGAR","DENTRO DO LIMITE")</f>
        <v>INVESTIGAR</v>
      </c>
      <c r="L16" s="11" t="s">
        <v>81</v>
      </c>
    </row>
    <row r="17" spans="1:12">
      <c r="A17" t="str">
        <f>Dados_DFP!A17</f>
        <v>Goodwill</v>
      </c>
      <c r="B17" s="7">
        <f>Dados_DFP!B17</f>
        <v>2952405</v>
      </c>
      <c r="C17" s="7">
        <f>Dados_DFP!C17</f>
        <v>3381795</v>
      </c>
      <c r="D17" s="7">
        <f>Dados_DFP!D17</f>
        <v>3167139</v>
      </c>
      <c r="E17" s="9">
        <f>IF(B17=0,"",C17/B17-1)</f>
        <v>0.14543736377631111</v>
      </c>
      <c r="F17" s="9">
        <f>IF(C17=0,"",D17/C17-1)</f>
        <v>-6.3473983491015851E-2</v>
      </c>
      <c r="G17" s="3">
        <f>IF(B17=0,C17,C17*(C17/B17))</f>
        <v>3873634.3496319102</v>
      </c>
      <c r="H17" s="3">
        <f>D17-G17</f>
        <v>-706495.34963191021</v>
      </c>
      <c r="I17" s="9">
        <f>IF(G17=0,"",H17/G17)</f>
        <v>-0.18238565798009421</v>
      </c>
      <c r="J17" s="3">
        <f>MIN(ABS(G17)*IF(Dados_DFP!F17="ALTO",Premissas!$B$6,Premissas!$B$7),Premissas!$B$5*IF(Dados_DFP!F17="ALTO",Premissas!$B$8,Premissas!$B$9))</f>
        <v>3646.9230000000007</v>
      </c>
      <c r="K17" t="str">
        <f>IF(ABS(H17)&gt;J17,"INVESTIGAR","DENTRO DO LIMITE")</f>
        <v>INVESTIGAR</v>
      </c>
      <c r="L17" s="12" t="s">
        <v>81</v>
      </c>
    </row>
    <row r="18" spans="1:12">
      <c r="A18" s="4" t="str">
        <f>Dados_DFP!A18</f>
        <v>Intangível total</v>
      </c>
      <c r="B18" s="8">
        <f>Dados_DFP!B18</f>
        <v>3671227</v>
      </c>
      <c r="C18" s="8">
        <f>Dados_DFP!C18</f>
        <v>4261225</v>
      </c>
      <c r="D18" s="8">
        <f>Dados_DFP!D18</f>
        <v>3904253</v>
      </c>
      <c r="E18" s="10">
        <f>IF(B18=0,"",C18/B18-1)</f>
        <v>0.16070866770156145</v>
      </c>
      <c r="F18" s="10">
        <f>IF(C18=0,"",D18/C18-1)</f>
        <v>-8.3772154720766934E-2</v>
      </c>
      <c r="G18" s="5">
        <f>IF(B18=0,C18,C18*(C18/B18))</f>
        <v>4946040.792526586</v>
      </c>
      <c r="H18" s="5">
        <f>D18-G18</f>
        <v>-1041787.792526586</v>
      </c>
      <c r="I18" s="10">
        <f>IF(G18=0,"",H18/G18)</f>
        <v>-0.2106306511059747</v>
      </c>
      <c r="J18" s="5">
        <f>MIN(ABS(G18)*IF(Dados_DFP!F18="ALTO",Premissas!$B$6,Premissas!$B$7),Premissas!$B$5*IF(Dados_DFP!F18="ALTO",Premissas!$B$8,Premissas!$B$9))</f>
        <v>3646.9230000000007</v>
      </c>
      <c r="K18" s="4" t="str">
        <f>IF(ABS(H18)&gt;J18,"INVESTIGAR","DENTRO DO LIMITE")</f>
        <v>INVESTIGAR</v>
      </c>
      <c r="L18" s="11" t="s">
        <v>81</v>
      </c>
    </row>
    <row r="19" spans="1:12">
      <c r="A19" t="str">
        <f>Dados_DFP!A19</f>
        <v>Patrimônio líquido consolidado</v>
      </c>
      <c r="B19" s="7">
        <f>Dados_DFP!B19</f>
        <v>5012671</v>
      </c>
      <c r="C19" s="7">
        <f>Dados_DFP!C19</f>
        <v>4987121</v>
      </c>
      <c r="D19" s="7">
        <f>Dados_DFP!D19</f>
        <v>5443457</v>
      </c>
      <c r="E19" s="9">
        <f>IF(B19=0,"",C19/B19-1)</f>
        <v>-5.0970829723314681E-3</v>
      </c>
      <c r="F19" s="9">
        <f>IF(C19=0,"",D19/C19-1)</f>
        <v>9.1502893152181297E-2</v>
      </c>
      <c r="G19" s="3">
        <f>IF(B19=0,C19,C19*(C19/B19))</f>
        <v>4961701.230469943</v>
      </c>
      <c r="H19" s="3">
        <f>D19-G19</f>
        <v>481755.76953005698</v>
      </c>
      <c r="I19" s="9">
        <f>IF(G19=0,"",H19/G19)</f>
        <v>9.7094876767585603E-2</v>
      </c>
      <c r="J19" s="3">
        <f>MIN(ABS(G19)*IF(Dados_DFP!F19="ALTO",Premissas!$B$6,Premissas!$B$7),Premissas!$B$5*IF(Dados_DFP!F19="ALTO",Premissas!$B$8,Premissas!$B$9))</f>
        <v>7293.8460000000014</v>
      </c>
      <c r="K19" t="str">
        <f>IF(ABS(H19)&gt;J19,"INVESTIGAR","DENTRO DO LIMITE")</f>
        <v>INVESTIGAR</v>
      </c>
      <c r="L19" s="12" t="s">
        <v>81</v>
      </c>
    </row>
    <row r="20" spans="1:12">
      <c r="A20" s="4" t="str">
        <f>Dados_DFP!A20</f>
        <v>Provisões não circulantes</v>
      </c>
      <c r="B20" s="8">
        <f>Dados_DFP!B20</f>
        <v>111990</v>
      </c>
      <c r="C20" s="8">
        <f>Dados_DFP!C20</f>
        <v>106272</v>
      </c>
      <c r="D20" s="8">
        <f>Dados_DFP!D20</f>
        <v>106763</v>
      </c>
      <c r="E20" s="10">
        <f>IF(B20=0,"",C20/B20-1)</f>
        <v>-5.1058130190195561E-2</v>
      </c>
      <c r="F20" s="10">
        <f>IF(C20=0,"",D20/C20-1)</f>
        <v>4.6202198133091787E-3</v>
      </c>
      <c r="G20" s="5">
        <f>IF(B20=0,C20,C20*(C20/B20))</f>
        <v>100845.95038842753</v>
      </c>
      <c r="H20" s="5">
        <f>D20-G20</f>
        <v>5917.0496115724673</v>
      </c>
      <c r="I20" s="10">
        <f>IF(G20=0,"",H20/G20)</f>
        <v>5.8674141983706983E-2</v>
      </c>
      <c r="J20" s="5">
        <f>MIN(ABS(G20)*IF(Dados_DFP!F20="ALTO",Premissas!$B$6,Premissas!$B$7),Premissas!$B$5*IF(Dados_DFP!F20="ALTO",Premissas!$B$8,Premissas!$B$9))</f>
        <v>2016.9190077685507</v>
      </c>
      <c r="K20" s="4" t="str">
        <f>IF(ABS(H20)&gt;J20,"INVESTIGAR","DENTRO DO LIMITE")</f>
        <v>INVESTIGAR</v>
      </c>
      <c r="L20" s="11" t="s">
        <v>81</v>
      </c>
    </row>
    <row r="21" spans="1:12">
      <c r="A21" t="str">
        <f>Dados_DFP!A21</f>
        <v>Fornecedores circulantes</v>
      </c>
      <c r="B21" s="7">
        <f>Dados_DFP!B21</f>
        <v>155266</v>
      </c>
      <c r="C21" s="7">
        <f>Dados_DFP!C21</f>
        <v>211971</v>
      </c>
      <c r="D21" s="7">
        <f>Dados_DFP!D21</f>
        <v>220761</v>
      </c>
      <c r="E21" s="9">
        <f>IF(B21=0,"",C21/B21-1)</f>
        <v>0.36521195883194002</v>
      </c>
      <c r="F21" s="9">
        <f>IF(C21=0,"",D21/C21-1)</f>
        <v>4.146793665171189E-2</v>
      </c>
      <c r="G21" s="3">
        <f>IF(B21=0,C21,C21*(C21/B21))</f>
        <v>289385.34412556514</v>
      </c>
      <c r="H21" s="3">
        <f>D21-G21</f>
        <v>-68624.344125565141</v>
      </c>
      <c r="I21" s="9">
        <f>IF(G21=0,"",H21/G21)</f>
        <v>-0.23713828470798037</v>
      </c>
      <c r="J21" s="3">
        <f>MIN(ABS(G21)*IF(Dados_DFP!F21="ALTO",Premissas!$B$6,Premissas!$B$7),Premissas!$B$5*IF(Dados_DFP!F21="ALTO",Premissas!$B$8,Premissas!$B$9))</f>
        <v>7293.8460000000014</v>
      </c>
      <c r="K21" t="str">
        <f>IF(ABS(H21)&gt;J21,"INVESTIGAR","DENTRO DO LIMITE")</f>
        <v>INVESTIGAR</v>
      </c>
      <c r="L21" s="12" t="s">
        <v>81</v>
      </c>
    </row>
  </sheetData>
  <mergeCells count="1">
    <mergeCell ref="A1:L1"/>
  </mergeCells>
  <conditionalFormatting sqref="K4:K21">
    <cfRule type="expression" dxfId="0" priority="1">
      <formula>K4="INVESTIGAR"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zoomScaleNormal="100" zoomScaleSheetLayoutView="100" workbookViewId="0"/>
  </sheetViews>
  <sheetFormatPr defaultRowHeight="15"/>
  <cols>
    <col min="1" max="1" width="47" customWidth="1"/>
    <col min="2" max="4" width="18" customWidth="1"/>
    <col min="5" max="5" width="22" customWidth="1"/>
    <col min="6" max="6" width="73" customWidth="1"/>
  </cols>
  <sheetData>
    <row r="1" spans="1:6" ht="33" customHeight="1">
      <c r="A1" s="14" t="s">
        <v>82</v>
      </c>
      <c r="B1" s="14"/>
      <c r="C1" s="14"/>
      <c r="D1" s="14"/>
      <c r="E1" s="14"/>
      <c r="F1" s="14"/>
    </row>
    <row r="3" spans="1:6" ht="33.950000000000003" customHeight="1">
      <c r="A3" s="1" t="s">
        <v>83</v>
      </c>
      <c r="B3" s="1" t="s">
        <v>27</v>
      </c>
      <c r="C3" s="1" t="s">
        <v>28</v>
      </c>
      <c r="D3" s="1" t="s">
        <v>29</v>
      </c>
      <c r="E3" s="1" t="s">
        <v>84</v>
      </c>
      <c r="F3" s="1" t="s">
        <v>85</v>
      </c>
    </row>
    <row r="4" spans="1:6">
      <c r="A4" s="4" t="s">
        <v>86</v>
      </c>
      <c r="B4" s="10">
        <f>IF(Dados_DFP!B4=0,"",Dados_DFP!B6/Dados_DFP!B4)</f>
        <v>0.71174642997937021</v>
      </c>
      <c r="C4" s="10">
        <f>IF(Dados_DFP!C4=0,"",Dados_DFP!C6/Dados_DFP!C4)</f>
        <v>0.7032050683382074</v>
      </c>
      <c r="D4" s="10">
        <f>IF(Dados_DFP!D4=0,"",Dados_DFP!D6/Dados_DFP!D4)</f>
        <v>0.70263937128142417</v>
      </c>
      <c r="E4" s="10">
        <f>IF(C4=0,"",D4/C4-1)</f>
        <v>-8.0445531787765034E-4</v>
      </c>
      <c r="F4" s="4" t="s">
        <v>87</v>
      </c>
    </row>
    <row r="5" spans="1:6">
      <c r="A5" t="s">
        <v>88</v>
      </c>
      <c r="B5" s="9">
        <f>IF(Dados_DFP!B4=0,"",Dados_DFP!B7/Dados_DFP!B4)</f>
        <v>0.16149559081879872</v>
      </c>
      <c r="C5" s="9">
        <f>IF(Dados_DFP!C4=0,"",Dados_DFP!C7/Dados_DFP!C4)</f>
        <v>0.17335236177976202</v>
      </c>
      <c r="D5" s="9">
        <f>IF(Dados_DFP!D4=0,"",Dados_DFP!D7/Dados_DFP!D4)</f>
        <v>0.19451730263361924</v>
      </c>
      <c r="E5" s="9">
        <f>IF(C5=0,"",D5/C5-1)</f>
        <v>0.12209202480175341</v>
      </c>
      <c r="F5" t="s">
        <v>87</v>
      </c>
    </row>
    <row r="6" spans="1:6">
      <c r="A6" s="4" t="s">
        <v>89</v>
      </c>
      <c r="B6" s="10">
        <f>IF(Dados_DFP!B4=0,"",Dados_DFP!B9/Dados_DFP!B4)</f>
        <v>0.18286308765161344</v>
      </c>
      <c r="C6" s="10">
        <f>IF(Dados_DFP!C4=0,"",Dados_DFP!C9/Dados_DFP!C4)</f>
        <v>0.14964005268226421</v>
      </c>
      <c r="D6" s="10">
        <f>IF(Dados_DFP!D4=0,"",Dados_DFP!D9/Dados_DFP!D4)</f>
        <v>0.15952238677710348</v>
      </c>
      <c r="E6" s="10">
        <f>IF(C6=0,"",D6/C6-1)</f>
        <v>6.6040701788730116E-2</v>
      </c>
      <c r="F6" s="4" t="s">
        <v>87</v>
      </c>
    </row>
    <row r="7" spans="1:6">
      <c r="A7" t="s">
        <v>90</v>
      </c>
      <c r="B7" s="13">
        <f>IF(Dados_DFP!B13=0,"",Dados_DFP!B12/Dados_DFP!B13)</f>
        <v>2.896280868877291</v>
      </c>
      <c r="C7" s="13">
        <f>IF(Dados_DFP!C13=0,"",Dados_DFP!C12/Dados_DFP!C13)</f>
        <v>2.4152816341941117</v>
      </c>
      <c r="D7" s="13">
        <f>IF(Dados_DFP!D13=0,"",Dados_DFP!D12/Dados_DFP!D13)</f>
        <v>1.9592189349830302</v>
      </c>
      <c r="E7" s="9">
        <f>IF(C7=0,"",D7/C7-1)</f>
        <v>-0.18882381779185442</v>
      </c>
      <c r="F7" t="s">
        <v>87</v>
      </c>
    </row>
    <row r="8" spans="1:6">
      <c r="A8" s="4" t="s">
        <v>91</v>
      </c>
      <c r="B8" s="10">
        <f>IF(Dados_DFP!B4=0,"",Dados_DFP!B11/Dados_DFP!B4)</f>
        <v>0.12882310839619862</v>
      </c>
      <c r="C8" s="10">
        <f>IF(Dados_DFP!C4=0,"",Dados_DFP!C11/Dados_DFP!C4)</f>
        <v>0.11461993872726307</v>
      </c>
      <c r="D8" s="10">
        <f>IF(Dados_DFP!D4=0,"",Dados_DFP!D11/Dados_DFP!D4)</f>
        <v>0.11073297426985064</v>
      </c>
      <c r="E8" s="10">
        <f>IF(C8=0,"",D8/C8-1)</f>
        <v>-3.3911765270276617E-2</v>
      </c>
      <c r="F8" s="4" t="s">
        <v>87</v>
      </c>
    </row>
    <row r="9" spans="1:6">
      <c r="A9" t="s">
        <v>92</v>
      </c>
      <c r="B9" s="9">
        <f>IF(Dados_DFP!B14=0,"",Dados_DFP!B18/Dados_DFP!B14)</f>
        <v>0.41582118189664352</v>
      </c>
      <c r="C9" s="9">
        <f>IF(Dados_DFP!C14=0,"",Dados_DFP!C18/Dados_DFP!C14)</f>
        <v>0.49945667468497856</v>
      </c>
      <c r="D9" s="9">
        <f>IF(Dados_DFP!D14=0,"",Dados_DFP!D18/Dados_DFP!D14)</f>
        <v>0.41305357256020864</v>
      </c>
      <c r="E9" s="9">
        <f>IF(C9=0,"",D9/C9-1)</f>
        <v>-0.17299418849346004</v>
      </c>
      <c r="F9" t="s">
        <v>87</v>
      </c>
    </row>
    <row r="10" spans="1:6">
      <c r="A10" s="4" t="s">
        <v>93</v>
      </c>
      <c r="B10" s="10">
        <f>IF(Dados_DFP!B14=0,"",Dados_DFP!B17/Dados_DFP!B14)</f>
        <v>0.33440387547203149</v>
      </c>
      <c r="C10" s="10">
        <f>IF(Dados_DFP!C14=0,"",Dados_DFP!C17/Dados_DFP!C14)</f>
        <v>0.39637899551567612</v>
      </c>
      <c r="D10" s="10">
        <f>IF(Dados_DFP!D14=0,"",Dados_DFP!D17/Dados_DFP!D14)</f>
        <v>0.33507000666830933</v>
      </c>
      <c r="E10" s="10">
        <f>IF(C10=0,"",D10/C10-1)</f>
        <v>-0.15467264799842839</v>
      </c>
      <c r="F10" s="4" t="s">
        <v>87</v>
      </c>
    </row>
    <row r="11" spans="1:6">
      <c r="A11" t="s">
        <v>94</v>
      </c>
      <c r="B11" s="9">
        <f>IF(Dados_DFP!B13=0,"",Dados_DFP!B20/Dados_DFP!B13)</f>
        <v>8.3033730274947745E-2</v>
      </c>
      <c r="C11" s="9">
        <f>IF(Dados_DFP!C13=0,"",Dados_DFP!C20/Dados_DFP!C13)</f>
        <v>9.2879110852414404E-2</v>
      </c>
      <c r="D11" s="9">
        <f>IF(Dados_DFP!D13=0,"",Dados_DFP!D20/Dados_DFP!D13)</f>
        <v>5.3969170295346022E-2</v>
      </c>
      <c r="E11" s="9">
        <f>IF(C11=0,"",D11/C11-1)</f>
        <v>-0.41893101904147823</v>
      </c>
      <c r="F11" t="s">
        <v>87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tabSelected="1" zoomScaleNormal="100" zoomScaleSheetLayoutView="100" workbookViewId="0"/>
  </sheetViews>
  <sheetFormatPr defaultRowHeight="15"/>
  <cols>
    <col min="1" max="1" width="20" customWidth="1"/>
    <col min="2" max="2" width="80" customWidth="1"/>
    <col min="3" max="3" width="75" customWidth="1"/>
    <col min="4" max="4" width="84" customWidth="1"/>
  </cols>
  <sheetData>
    <row r="1" spans="1:4" ht="33" customHeight="1">
      <c r="A1" s="14" t="s">
        <v>95</v>
      </c>
      <c r="B1" s="14"/>
      <c r="C1" s="14"/>
      <c r="D1" s="14"/>
    </row>
    <row r="3" spans="1:4" ht="33.950000000000003" customHeight="1">
      <c r="A3" s="1" t="s">
        <v>96</v>
      </c>
      <c r="B3" s="1" t="s">
        <v>97</v>
      </c>
      <c r="C3" s="1" t="s">
        <v>98</v>
      </c>
      <c r="D3" s="1" t="s">
        <v>99</v>
      </c>
    </row>
    <row r="4" spans="1:4">
      <c r="A4" s="11" t="s">
        <v>100</v>
      </c>
      <c r="B4" s="11" t="s">
        <v>101</v>
      </c>
      <c r="C4" s="11" t="s">
        <v>102</v>
      </c>
      <c r="D4" s="11" t="s">
        <v>103</v>
      </c>
    </row>
    <row r="5" spans="1:4">
      <c r="A5" s="12" t="s">
        <v>104</v>
      </c>
      <c r="B5" s="12" t="s">
        <v>105</v>
      </c>
      <c r="C5" s="12" t="s">
        <v>106</v>
      </c>
      <c r="D5" s="12" t="s">
        <v>107</v>
      </c>
    </row>
    <row r="6" spans="1:4">
      <c r="A6" s="11" t="s">
        <v>6</v>
      </c>
      <c r="B6" s="11" t="s">
        <v>108</v>
      </c>
      <c r="C6" s="11" t="s">
        <v>109</v>
      </c>
      <c r="D6" s="11" t="s">
        <v>110</v>
      </c>
    </row>
    <row r="7" spans="1:4">
      <c r="A7" s="12" t="s">
        <v>111</v>
      </c>
      <c r="B7" s="12" t="s">
        <v>112</v>
      </c>
      <c r="C7" s="12" t="s">
        <v>113</v>
      </c>
      <c r="D7" s="12" t="s">
        <v>114</v>
      </c>
    </row>
    <row r="8" spans="1:4">
      <c r="A8" s="11" t="s">
        <v>115</v>
      </c>
      <c r="B8" s="11" t="s">
        <v>116</v>
      </c>
      <c r="C8" s="11" t="s">
        <v>117</v>
      </c>
      <c r="D8" s="11" t="s">
        <v>118</v>
      </c>
    </row>
    <row r="9" spans="1:4">
      <c r="A9" s="12" t="s">
        <v>119</v>
      </c>
      <c r="B9" s="12" t="s">
        <v>120</v>
      </c>
      <c r="C9" s="12" t="s">
        <v>121</v>
      </c>
      <c r="D9" s="12" t="s">
        <v>122</v>
      </c>
    </row>
    <row r="10" spans="1:4">
      <c r="A10" s="11" t="s">
        <v>123</v>
      </c>
      <c r="B10" s="11" t="s">
        <v>124</v>
      </c>
      <c r="C10" s="11" t="s">
        <v>125</v>
      </c>
      <c r="D10" s="11" t="s">
        <v>126</v>
      </c>
    </row>
    <row r="11" spans="1:4">
      <c r="A11" s="12" t="s">
        <v>127</v>
      </c>
      <c r="B11" s="12" t="s">
        <v>128</v>
      </c>
      <c r="C11" s="12" t="s">
        <v>129</v>
      </c>
      <c r="D11" s="12" t="s">
        <v>130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2026-10-25T20:16:53Z</dcterms:created>
  <dcterms:modified xsi:type="dcterms:W3CDTF">2026-10-25T20:16:53Z</dcterms:modified>
  <cp:category/>
  <cp:contentStatus/>
</cp:coreProperties>
</file>