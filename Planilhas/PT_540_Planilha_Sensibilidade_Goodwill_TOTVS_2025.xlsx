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B375CF3D-8CA2-458A-BF29-D659B565FBC9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Premissas" sheetId="1" r:id="rId1"/>
    <sheet name="Fluxos_DCF" sheetId="2" r:id="rId2"/>
    <sheet name="Sensibilidade" sheetId="3" r:id="rId3"/>
    <sheet name="Fontes_e_Limite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B14" i="2"/>
  <c r="F5" i="2"/>
  <c r="E5" i="2"/>
  <c r="D5" i="2"/>
  <c r="C5" i="2"/>
  <c r="B5" i="2"/>
  <c r="B4" i="2"/>
  <c r="B6" i="2" l="1"/>
  <c r="C4" i="2"/>
  <c r="C6" i="2" l="1"/>
  <c r="D4" i="2"/>
  <c r="D6" i="2" l="1"/>
  <c r="E4" i="2"/>
  <c r="E6" i="2" l="1"/>
  <c r="F4" i="2"/>
  <c r="F11" i="3" l="1"/>
  <c r="F10" i="3"/>
  <c r="F9" i="3"/>
  <c r="F8" i="3"/>
  <c r="F7" i="3"/>
  <c r="F6" i="3"/>
  <c r="F5" i="3"/>
  <c r="F4" i="3"/>
  <c r="B10" i="2"/>
  <c r="B11" i="2" s="1"/>
  <c r="B12" i="2" s="1"/>
  <c r="F6" i="2"/>
  <c r="B9" i="2" s="1"/>
  <c r="B13" i="2" s="1"/>
  <c r="B15" i="2" l="1"/>
  <c r="B16" i="2"/>
  <c r="E11" i="3"/>
  <c r="G11" i="3"/>
  <c r="H11" i="3"/>
  <c r="E10" i="3"/>
  <c r="G10" i="3"/>
  <c r="H10" i="3"/>
  <c r="E9" i="3"/>
  <c r="G9" i="3"/>
  <c r="H9" i="3"/>
  <c r="E8" i="3"/>
  <c r="G8" i="3"/>
  <c r="H8" i="3"/>
  <c r="E7" i="3"/>
  <c r="G7" i="3"/>
  <c r="H7" i="3"/>
  <c r="E6" i="3"/>
  <c r="G6" i="3"/>
  <c r="H6" i="3"/>
  <c r="E5" i="3"/>
  <c r="G5" i="3"/>
  <c r="H5" i="3"/>
  <c r="E4" i="3"/>
  <c r="G4" i="3"/>
  <c r="H4" i="3"/>
</calcChain>
</file>

<file path=xl/sharedStrings.xml><?xml version="1.0" encoding="utf-8"?>
<sst xmlns="http://schemas.openxmlformats.org/spreadsheetml/2006/main" count="92" uniqueCount="87">
  <si>
    <t>PT-540 | SIMULAÇÃO ACADÊMICA — UGC RD</t>
  </si>
  <si>
    <t>Parâmetro</t>
  </si>
  <si>
    <t>Valor</t>
  </si>
  <si>
    <t>Origem / ressalva</t>
  </si>
  <si>
    <t>Goodwill UGC RD (R$ mil)</t>
  </si>
  <si>
    <t>Nota 15.1, 2025, divulgado; não é valor contábil completo da UGC</t>
  </si>
  <si>
    <t>Goodwill UGC Gestão (R$ mil)</t>
  </si>
  <si>
    <t>Nota 15.1, divulgado</t>
  </si>
  <si>
    <t>Goodwill total (R$ mil)</t>
  </si>
  <si>
    <t>Taxa de desconto no modelo</t>
  </si>
  <si>
    <t>HIPÓTESE: uma das taxas nominais divulgadas (13,66% e 14,42%); a DFP não identifica qual se aplica à RD</t>
  </si>
  <si>
    <t>Taxa perpétua de crescimento</t>
  </si>
  <si>
    <t>Nota 15.2: taxa nominal divulgada de 5,6%</t>
  </si>
  <si>
    <t>Crescimento dos fluxos explícitos</t>
  </si>
  <si>
    <t>HIPÓTESE ACADÊMICA, NÃO DIVULGADA</t>
  </si>
  <si>
    <t>FCF ano 1 (R$ mil)</t>
  </si>
  <si>
    <t>Horizonte explícito (anos)</t>
  </si>
  <si>
    <t>Hipótese: dentro da faixa de 5–10 anos divulgada</t>
  </si>
  <si>
    <t>Valor contábil TOTAL da UGC (R$ mil)</t>
  </si>
  <si>
    <t>VALOR MERAMENTE HIPOTÉTICO; não é saldo real nem somente goodwill</t>
  </si>
  <si>
    <t>Choque taxa de desconto (p.p.)</t>
  </si>
  <si>
    <t>Cenários +1 / -1 ponto percentual</t>
  </si>
  <si>
    <t>Choque crescimento perpetuidade (p.p.)</t>
  </si>
  <si>
    <t>Choque fluxo de caixa</t>
  </si>
  <si>
    <t>Cenários -10% / +10%</t>
  </si>
  <si>
    <t>Materialidade global (R$ mil)</t>
  </si>
  <si>
    <t>PT-320</t>
  </si>
  <si>
    <t>Materialidade para execução (R$ mil)</t>
  </si>
  <si>
    <t>FLUXOS DE CAIXA DESCONTADOS — EXERCÍCIO HIPOTÉTICO (R$ MIL)</t>
  </si>
  <si>
    <t>Indicador</t>
  </si>
  <si>
    <t>Nota</t>
  </si>
  <si>
    <t>Fluxo nominal</t>
  </si>
  <si>
    <t>Fator de desconto</t>
  </si>
  <si>
    <t>Valor presente</t>
  </si>
  <si>
    <t>VP dos fluxos explícitos</t>
  </si>
  <si>
    <t>A referência para comparação é apenas ilustrativa. Goodwill de R$ 1.825.883 mil NÃO equivale ao valor contábil total da UGC RD. O valor recuperável real não foi fornecido.</t>
  </si>
  <si>
    <t>Fluxo terminal ano 6</t>
  </si>
  <si>
    <t>Valor terminal no fim do ano 5</t>
  </si>
  <si>
    <t>VP do valor terminal</t>
  </si>
  <si>
    <t>Valor em uso ilustrativo</t>
  </si>
  <si>
    <t>Valor contábil hipotético da UGC</t>
  </si>
  <si>
    <t>Folga hipotética (headroom)</t>
  </si>
  <si>
    <t>Perda hipotética se valor em uso fosse recuperável</t>
  </si>
  <si>
    <t>ANÁLISE DE SENSIBILIDADE DCF | PREMISSAS DIDÁTICAS | VALORES R$ MIL</t>
  </si>
  <si>
    <t>Cenário</t>
  </si>
  <si>
    <t>Desconto</t>
  </si>
  <si>
    <t>Perpetuidade</t>
  </si>
  <si>
    <t>Multiplicador FCF</t>
  </si>
  <si>
    <t>VP 5 anos</t>
  </si>
  <si>
    <t>VP terminal</t>
  </si>
  <si>
    <t>Valor em uso</t>
  </si>
  <si>
    <t>Folga vs UGC hipotética</t>
  </si>
  <si>
    <t>Base</t>
  </si>
  <si>
    <t>Desconto +1 pp</t>
  </si>
  <si>
    <t>Desconto -1 pp</t>
  </si>
  <si>
    <t>Perpetuidade -1 pp</t>
  </si>
  <si>
    <t>Perpetuidade +1 pp</t>
  </si>
  <si>
    <t>FCF -10%</t>
  </si>
  <si>
    <t>FCF +10%</t>
  </si>
  <si>
    <t>Combinado desfavorável</t>
  </si>
  <si>
    <t>AVISO: Folga e perdas referem-se a valor contábil total da UGC HIPOTÉTICO. Não se infere perda ou recuperabilidade da TOTVS.</t>
  </si>
  <si>
    <t>ID</t>
  </si>
  <si>
    <t>Fonte / dado</t>
  </si>
  <si>
    <t>Limitação / uso</t>
  </si>
  <si>
    <t>DOC-01</t>
  </si>
  <si>
    <t>DFP consolidada TOTVS 2025, notas 15.1 e 15.2</t>
  </si>
  <si>
    <t>Goodwill, prazo 5–10 anos, taxas 13,66% e 14,42% (sem identificação individual de UGC), perpetuidade 5,6%</t>
  </si>
  <si>
    <t>DOC-02</t>
  </si>
  <si>
    <t>Relatório dos auditores independentes de 2025</t>
  </si>
  <si>
    <t>Valor recuperável da UGC RD foi principal assunto; não transfere papéis ou testes internos</t>
  </si>
  <si>
    <t>PT-315</t>
  </si>
  <si>
    <t>Avaliação de riscos</t>
  </si>
  <si>
    <t>Mensuração do goodwill: risco alto e candidato a significativo</t>
  </si>
  <si>
    <t>Materialidade</t>
  </si>
  <si>
    <t>Global 52.098,9 R$ mil; execução 36.469,23 R$ mil</t>
  </si>
  <si>
    <t>PT-330</t>
  </si>
  <si>
    <t>Respostas a riscos</t>
  </si>
  <si>
    <t>Conciliação pública executada; recálculo independente real não executado</t>
  </si>
  <si>
    <t>SIM-540</t>
  </si>
  <si>
    <t>Modelagem hipotética DCF</t>
  </si>
  <si>
    <t>FCF, crescimento explícito, desconto atribuído à RD e valor contábil total da UGC não foram divulgados</t>
  </si>
  <si>
    <t>NOR-540</t>
  </si>
  <si>
    <t>NBC TA 540 (R2) e CPC 01</t>
  </si>
  <si>
    <t>Método, premissas, dados, incerteza, viés; valor recuperável = maior entre VIU e VJ menos despesas</t>
  </si>
  <si>
    <t>STATUS</t>
  </si>
  <si>
    <t>25/10/2026 — preparadora 241021687</t>
  </si>
  <si>
    <t>Sem revisão por terceiro e sem acesso a fluxos internos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</si>
</sst>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17344C"/>
      <name val="Carlito"/>
    </font>
    <font>
      <b/>
      <sz val="11"/>
      <color rgb="FFFFFFFF"/>
      <name val="Carlito"/>
    </font>
    <font>
      <b/>
      <sz val="11"/>
      <color rgb="FF8B451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44C"/>
      </patternFill>
    </fill>
    <fill>
      <patternFill patternType="solid">
        <fgColor rgb="FFDCE8F4"/>
      </patternFill>
    </fill>
    <fill>
      <patternFill patternType="solid">
        <fgColor rgb="FFFFF4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10" fontId="0" fillId="0" borderId="0" xfId="0" applyNumberFormat="1"/>
    <xf numFmtId="4" fontId="0" fillId="0" borderId="0" xfId="0" applyNumberFormat="1"/>
    <xf numFmtId="10" fontId="0" fillId="4" borderId="0" xfId="0" applyNumberFormat="1" applyFill="1"/>
    <xf numFmtId="4" fontId="0" fillId="4" borderId="0" xfId="0" applyNumberFormat="1" applyFill="1"/>
    <xf numFmtId="0" fontId="3" fillId="2" borderId="0" xfId="0" applyFont="1" applyFill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/>
    <xf numFmtId="0" fontId="3" fillId="2" borderId="0" xfId="0" applyFont="1" applyFill="1" applyAlignment="1"/>
    <xf numFmtId="0" fontId="4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zoomScaleNormal="100" zoomScaleSheetLayoutView="100" workbookViewId="0"/>
  </sheetViews>
  <sheetFormatPr defaultRowHeight="15"/>
  <cols>
    <col min="1" max="1" width="38" customWidth="1"/>
    <col min="2" max="2" width="20" customWidth="1"/>
    <col min="3" max="3" width="90" customWidth="1"/>
  </cols>
  <sheetData>
    <row r="1" spans="1:3">
      <c r="A1" s="10" t="s">
        <v>0</v>
      </c>
      <c r="B1" s="10"/>
      <c r="C1" s="10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 s="3">
        <v>1825883</v>
      </c>
      <c r="C3" t="s">
        <v>5</v>
      </c>
    </row>
    <row r="4" spans="1:3">
      <c r="A4" t="s">
        <v>6</v>
      </c>
      <c r="B4" s="3">
        <v>1341256</v>
      </c>
      <c r="C4" t="s">
        <v>7</v>
      </c>
    </row>
    <row r="5" spans="1:3">
      <c r="A5" t="s">
        <v>8</v>
      </c>
      <c r="B5" s="3">
        <v>3167139</v>
      </c>
      <c r="C5" t="s">
        <v>7</v>
      </c>
    </row>
    <row r="6" spans="1:3">
      <c r="A6" t="s">
        <v>9</v>
      </c>
      <c r="B6" s="4">
        <v>0.14419999999999999</v>
      </c>
      <c r="C6" t="s">
        <v>10</v>
      </c>
    </row>
    <row r="7" spans="1:3">
      <c r="A7" t="s">
        <v>11</v>
      </c>
      <c r="B7" s="4">
        <v>5.6000000000000001E-2</v>
      </c>
      <c r="C7" t="s">
        <v>12</v>
      </c>
    </row>
    <row r="8" spans="1:3">
      <c r="A8" t="s">
        <v>13</v>
      </c>
      <c r="B8" s="4">
        <v>0.08</v>
      </c>
      <c r="C8" t="s">
        <v>14</v>
      </c>
    </row>
    <row r="9" spans="1:3">
      <c r="A9" t="s">
        <v>15</v>
      </c>
      <c r="B9" s="5">
        <v>300000</v>
      </c>
      <c r="C9" t="s">
        <v>14</v>
      </c>
    </row>
    <row r="10" spans="1:3">
      <c r="A10" t="s">
        <v>16</v>
      </c>
      <c r="B10" s="5">
        <v>5</v>
      </c>
      <c r="C10" t="s">
        <v>17</v>
      </c>
    </row>
    <row r="11" spans="1:3">
      <c r="A11" t="s">
        <v>18</v>
      </c>
      <c r="B11" s="5">
        <v>2000000</v>
      </c>
      <c r="C11" t="s">
        <v>19</v>
      </c>
    </row>
    <row r="12" spans="1:3">
      <c r="A12" t="s">
        <v>20</v>
      </c>
      <c r="B12" s="4">
        <v>0.01</v>
      </c>
      <c r="C12" t="s">
        <v>21</v>
      </c>
    </row>
    <row r="13" spans="1:3">
      <c r="A13" t="s">
        <v>22</v>
      </c>
      <c r="B13" s="4">
        <v>0.01</v>
      </c>
      <c r="C13" t="s">
        <v>21</v>
      </c>
    </row>
    <row r="14" spans="1:3">
      <c r="A14" t="s">
        <v>23</v>
      </c>
      <c r="B14" s="4">
        <v>0.1</v>
      </c>
      <c r="C14" t="s">
        <v>24</v>
      </c>
    </row>
    <row r="15" spans="1:3">
      <c r="A15" t="s">
        <v>25</v>
      </c>
      <c r="B15" s="3">
        <v>52098.9</v>
      </c>
      <c r="C15" t="s">
        <v>26</v>
      </c>
    </row>
    <row r="16" spans="1:3">
      <c r="A16" t="s">
        <v>27</v>
      </c>
      <c r="B16" s="3">
        <v>36469.230000000003</v>
      </c>
      <c r="C16" t="s">
        <v>26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zoomScaleNormal="100" zoomScaleSheetLayoutView="100" workbookViewId="0"/>
  </sheetViews>
  <sheetFormatPr defaultRowHeight="15"/>
  <cols>
    <col min="1" max="1" width="48" customWidth="1"/>
    <col min="2" max="7" width="18" customWidth="1"/>
  </cols>
  <sheetData>
    <row r="1" spans="1:7">
      <c r="A1" s="11" t="s">
        <v>28</v>
      </c>
      <c r="B1" s="11"/>
      <c r="C1" s="11"/>
      <c r="D1" s="11"/>
      <c r="E1" s="11"/>
      <c r="F1" s="11"/>
      <c r="G1" s="11"/>
    </row>
    <row r="3" spans="1:7">
      <c r="A3" s="1" t="s">
        <v>29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 t="s">
        <v>30</v>
      </c>
    </row>
    <row r="4" spans="1:7">
      <c r="A4" t="s">
        <v>31</v>
      </c>
      <c r="B4" s="3">
        <f>Premissas!B9</f>
        <v>300000</v>
      </c>
      <c r="C4" s="3">
        <f>B4*(1+Premissas!$B$8)</f>
        <v>324000</v>
      </c>
      <c r="D4" s="3">
        <f>C4*(1+Premissas!$B$8)</f>
        <v>349920</v>
      </c>
      <c r="E4" s="3">
        <f>D4*(1+Premissas!$B$8)</f>
        <v>377913.60000000003</v>
      </c>
      <c r="F4" s="3">
        <f>E4*(1+Premissas!$B$8)</f>
        <v>408146.68800000008</v>
      </c>
    </row>
    <row r="5" spans="1:7">
      <c r="A5" t="s">
        <v>32</v>
      </c>
      <c r="B5" s="3">
        <f>1/(1+Premissas!$B$6)^1</f>
        <v>0.87397308162908571</v>
      </c>
      <c r="C5" s="3">
        <f>1/(1+Premissas!$B$6)^2</f>
        <v>0.76382894741224061</v>
      </c>
      <c r="D5" s="3">
        <f>1/(1+Premissas!$B$6)^3</f>
        <v>0.66756593900737682</v>
      </c>
      <c r="E5" s="3">
        <f>1/(1+Premissas!$B$6)^4</f>
        <v>0.58343466090489149</v>
      </c>
      <c r="F5" s="3">
        <f>1/(1+Premissas!$B$6)^5</f>
        <v>0.50990618852026859</v>
      </c>
    </row>
    <row r="6" spans="1:7">
      <c r="A6" t="s">
        <v>33</v>
      </c>
      <c r="B6" s="3">
        <f>B4*B5</f>
        <v>262191.92448872572</v>
      </c>
      <c r="C6" s="3">
        <f>C4*C5</f>
        <v>247480.57896156595</v>
      </c>
      <c r="D6" s="3">
        <f>D4*D5</f>
        <v>233594.67337746129</v>
      </c>
      <c r="E6" s="3">
        <f>E4*E5</f>
        <v>220487.89306734683</v>
      </c>
      <c r="F6" s="3">
        <f>F4*F5</f>
        <v>208116.52203525128</v>
      </c>
    </row>
    <row r="7" spans="1:7">
      <c r="B7" s="3"/>
      <c r="C7" s="3"/>
      <c r="D7" s="3"/>
      <c r="E7" s="3"/>
      <c r="F7" s="3"/>
    </row>
    <row r="8" spans="1:7">
      <c r="B8" s="3"/>
      <c r="C8" s="3"/>
      <c r="D8" s="3"/>
      <c r="E8" s="3"/>
      <c r="F8" s="3"/>
    </row>
    <row r="9" spans="1:7">
      <c r="A9" t="s">
        <v>34</v>
      </c>
      <c r="B9" s="3">
        <f>SUM(B6:F6)</f>
        <v>1171871.5919303512</v>
      </c>
      <c r="C9" s="3"/>
      <c r="D9" s="8" t="s">
        <v>35</v>
      </c>
      <c r="E9" s="8"/>
      <c r="F9" s="8"/>
      <c r="G9" s="9"/>
    </row>
    <row r="10" spans="1:7">
      <c r="A10" t="s">
        <v>36</v>
      </c>
      <c r="B10" s="3">
        <f>F4*(1+Premissas!B7)</f>
        <v>431002.90252800012</v>
      </c>
      <c r="C10" s="3"/>
      <c r="D10" s="8"/>
      <c r="E10" s="8"/>
      <c r="F10" s="8"/>
      <c r="G10" s="9"/>
    </row>
    <row r="11" spans="1:7">
      <c r="A11" t="s">
        <v>37</v>
      </c>
      <c r="B11" s="3">
        <f>B10/(Premissas!B6-Premissas!B7)</f>
        <v>4886654.2236734703</v>
      </c>
      <c r="C11" s="3"/>
      <c r="D11" s="8"/>
      <c r="E11" s="8"/>
      <c r="F11" s="8"/>
      <c r="G11" s="9"/>
    </row>
    <row r="12" spans="1:7">
      <c r="A12" t="s">
        <v>38</v>
      </c>
      <c r="B12" s="3">
        <f>B11*F5</f>
        <v>2491735.2298098113</v>
      </c>
      <c r="C12" s="3"/>
      <c r="D12" s="8"/>
      <c r="E12" s="8"/>
      <c r="F12" s="8"/>
      <c r="G12" s="9"/>
    </row>
    <row r="13" spans="1:7">
      <c r="A13" t="s">
        <v>39</v>
      </c>
      <c r="B13" s="3">
        <f>B9+B12</f>
        <v>3663606.8217401626</v>
      </c>
      <c r="C13" s="3"/>
      <c r="D13" s="3"/>
      <c r="E13" s="3"/>
      <c r="F13" s="3"/>
    </row>
    <row r="14" spans="1:7">
      <c r="A14" t="s">
        <v>40</v>
      </c>
      <c r="B14" s="3">
        <f>Premissas!B11</f>
        <v>2000000</v>
      </c>
      <c r="C14" s="3"/>
      <c r="D14" s="3"/>
      <c r="E14" s="3"/>
      <c r="F14" s="3"/>
    </row>
    <row r="15" spans="1:7">
      <c r="A15" t="s">
        <v>41</v>
      </c>
      <c r="B15" s="3">
        <f>B13-B14</f>
        <v>1663606.8217401626</v>
      </c>
      <c r="C15" s="3"/>
      <c r="D15" s="3"/>
      <c r="E15" s="3"/>
      <c r="F15" s="3"/>
    </row>
    <row r="16" spans="1:7">
      <c r="A16" t="s">
        <v>42</v>
      </c>
      <c r="B16" s="3">
        <f>MAX(0,B14-B13)</f>
        <v>0</v>
      </c>
      <c r="C16" s="3"/>
      <c r="D16" s="3"/>
      <c r="E16" s="3"/>
      <c r="F16" s="3"/>
    </row>
  </sheetData>
  <mergeCells count="2">
    <mergeCell ref="A1:G1"/>
    <mergeCell ref="D9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Normal="100" zoomScaleSheetLayoutView="100" workbookViewId="0"/>
  </sheetViews>
  <sheetFormatPr defaultRowHeight="15"/>
  <cols>
    <col min="1" max="1" width="29" customWidth="1"/>
    <col min="2" max="4" width="18" customWidth="1"/>
    <col min="5" max="8" width="23" customWidth="1"/>
  </cols>
  <sheetData>
    <row r="1" spans="1:8">
      <c r="A1" s="11" t="s">
        <v>43</v>
      </c>
      <c r="B1" s="11"/>
      <c r="C1" s="11"/>
      <c r="D1" s="11"/>
      <c r="E1" s="11"/>
      <c r="F1" s="11"/>
      <c r="G1" s="11"/>
      <c r="H1" s="11"/>
    </row>
    <row r="3" spans="1:8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</row>
    <row r="4" spans="1:8">
      <c r="A4" t="s">
        <v>52</v>
      </c>
      <c r="B4" s="2">
        <f>Premissas!B6</f>
        <v>0.14419999999999999</v>
      </c>
      <c r="C4" s="2">
        <f>Premissas!B7</f>
        <v>5.6000000000000001E-2</v>
      </c>
      <c r="D4" s="2">
        <f>1</f>
        <v>1</v>
      </c>
      <c r="E4" s="3">
        <f>SUMPRODUCT(Fluxos_DCF!$B$4:$F$4,D4/(1+B4)^Fluxos_DCF!$B$3:$F$3)</f>
        <v>1171871.5919303512</v>
      </c>
      <c r="F4" s="3">
        <f>(Fluxos_DCF!$F$4*D4*(1+C4)/(B4-C4))/(1+B4)^Premissas!$B$10</f>
        <v>2491735.2298098113</v>
      </c>
      <c r="G4" s="3">
        <f>E4+F4</f>
        <v>3663606.8217401626</v>
      </c>
      <c r="H4" s="3">
        <f>G4-Premissas!$B$11</f>
        <v>1663606.8217401626</v>
      </c>
    </row>
    <row r="5" spans="1:8">
      <c r="A5" t="s">
        <v>53</v>
      </c>
      <c r="B5" s="2">
        <f>Premissas!B6+Premissas!B12</f>
        <v>0.1542</v>
      </c>
      <c r="C5" s="2">
        <f>Premissas!B7</f>
        <v>5.6000000000000001E-2</v>
      </c>
      <c r="D5" s="2">
        <f>1</f>
        <v>1</v>
      </c>
      <c r="E5" s="3">
        <f>SUMPRODUCT(Fluxos_DCF!$B$4:$F$4,D5/(1+B5)^Fluxos_DCF!$B$3:$F$3)</f>
        <v>1142907.7939530895</v>
      </c>
      <c r="F5" s="3">
        <f>(Fluxos_DCF!$F$4*D5*(1+C5)/(B5-C5))/(1+B5)^Premissas!$B$10</f>
        <v>2142709.8063593479</v>
      </c>
      <c r="G5" s="3">
        <f>E5+F5</f>
        <v>3285617.6003124374</v>
      </c>
      <c r="H5" s="3">
        <f>G5-Premissas!$B$11</f>
        <v>1285617.6003124374</v>
      </c>
    </row>
    <row r="6" spans="1:8">
      <c r="A6" t="s">
        <v>54</v>
      </c>
      <c r="B6" s="2">
        <f>Premissas!B6-Premissas!B12</f>
        <v>0.13419999999999999</v>
      </c>
      <c r="C6" s="2">
        <f>Premissas!B7</f>
        <v>5.6000000000000001E-2</v>
      </c>
      <c r="D6" s="2">
        <f>1</f>
        <v>1</v>
      </c>
      <c r="E6" s="3">
        <f>SUMPRODUCT(Fluxos_DCF!$B$4:$F$4,D6/(1+B6)^Fluxos_DCF!$B$3:$F$3)</f>
        <v>1202017.0200397759</v>
      </c>
      <c r="F6" s="3">
        <f>(Fluxos_DCF!$F$4*D6*(1+C6)/(B6-C6))/(1+B6)^Premissas!$B$10</f>
        <v>2936467.6926993895</v>
      </c>
      <c r="G6" s="3">
        <f>E6+F6</f>
        <v>4138484.7127391654</v>
      </c>
      <c r="H6" s="3">
        <f>G6-Premissas!$B$11</f>
        <v>2138484.7127391654</v>
      </c>
    </row>
    <row r="7" spans="1:8">
      <c r="A7" t="s">
        <v>55</v>
      </c>
      <c r="B7" s="2">
        <f>Premissas!B6</f>
        <v>0.14419999999999999</v>
      </c>
      <c r="C7" s="2">
        <f>Premissas!B7-Premissas!B13</f>
        <v>4.5999999999999999E-2</v>
      </c>
      <c r="D7" s="2">
        <f>1</f>
        <v>1</v>
      </c>
      <c r="E7" s="3">
        <f>SUMPRODUCT(Fluxos_DCF!$B$4:$F$4,D7/(1+B7)^Fluxos_DCF!$B$3:$F$3)</f>
        <v>1171871.5919303512</v>
      </c>
      <c r="F7" s="3">
        <f>(Fluxos_DCF!$F$4*D7*(1+C7)/(B7-C7))/(1+B7)^Premissas!$B$10</f>
        <v>2216801.2428602125</v>
      </c>
      <c r="G7" s="3">
        <f>E7+F7</f>
        <v>3388672.8347905637</v>
      </c>
      <c r="H7" s="3">
        <f>G7-Premissas!$B$11</f>
        <v>1388672.8347905637</v>
      </c>
    </row>
    <row r="8" spans="1:8">
      <c r="A8" t="s">
        <v>56</v>
      </c>
      <c r="B8" s="2">
        <f>Premissas!B6</f>
        <v>0.14419999999999999</v>
      </c>
      <c r="C8" s="2">
        <f>Premissas!B7+Premissas!B13</f>
        <v>6.6000000000000003E-2</v>
      </c>
      <c r="D8" s="2">
        <f>1</f>
        <v>1</v>
      </c>
      <c r="E8" s="3">
        <f>SUMPRODUCT(Fluxos_DCF!$B$4:$F$4,D8/(1+B8)^Fluxos_DCF!$B$3:$F$3)</f>
        <v>1171871.5919303512</v>
      </c>
      <c r="F8" s="3">
        <f>(Fluxos_DCF!$F$4*D8*(1+C8)/(B8-C8))/(1+B8)^Premissas!$B$10</f>
        <v>2836984.8144447305</v>
      </c>
      <c r="G8" s="3">
        <f>E8+F8</f>
        <v>4008856.4063750817</v>
      </c>
      <c r="H8" s="3">
        <f>G8-Premissas!$B$11</f>
        <v>2008856.4063750817</v>
      </c>
    </row>
    <row r="9" spans="1:8">
      <c r="A9" t="s">
        <v>57</v>
      </c>
      <c r="B9" s="2">
        <f>Premissas!B6</f>
        <v>0.14419999999999999</v>
      </c>
      <c r="C9" s="2">
        <f>Premissas!B7</f>
        <v>5.6000000000000001E-2</v>
      </c>
      <c r="D9" s="2">
        <f>1-Premissas!B14</f>
        <v>0.9</v>
      </c>
      <c r="E9" s="3">
        <f>SUMPRODUCT(Fluxos_DCF!$B$4:$F$4,D9/(1+B9)^Fluxos_DCF!$B$3:$F$3)</f>
        <v>1054684.432737316</v>
      </c>
      <c r="F9" s="3">
        <f>(Fluxos_DCF!$F$4*D9*(1+C9)/(B9-C9))/(1+B9)^Premissas!$B$10</f>
        <v>2242561.7068288308</v>
      </c>
      <c r="G9" s="3">
        <f>E9+F9</f>
        <v>3297246.1395661468</v>
      </c>
      <c r="H9" s="3">
        <f>G9-Premissas!$B$11</f>
        <v>1297246.1395661468</v>
      </c>
    </row>
    <row r="10" spans="1:8">
      <c r="A10" t="s">
        <v>58</v>
      </c>
      <c r="B10" s="2">
        <f>Premissas!B6</f>
        <v>0.14419999999999999</v>
      </c>
      <c r="C10" s="2">
        <f>Premissas!B7</f>
        <v>5.6000000000000001E-2</v>
      </c>
      <c r="D10" s="2">
        <f>1+Premissas!B14</f>
        <v>1.1000000000000001</v>
      </c>
      <c r="E10" s="3">
        <f>SUMPRODUCT(Fluxos_DCF!$B$4:$F$4,D10/(1+B10)^Fluxos_DCF!$B$3:$F$3)</f>
        <v>1289058.7511233864</v>
      </c>
      <c r="F10" s="3">
        <f>(Fluxos_DCF!$F$4*D10*(1+C10)/(B10-C10))/(1+B10)^Premissas!$B$10</f>
        <v>2740908.7527907928</v>
      </c>
      <c r="G10" s="3">
        <f>E10+F10</f>
        <v>4029967.5039141793</v>
      </c>
      <c r="H10" s="3">
        <f>G10-Premissas!$B$11</f>
        <v>2029967.5039141793</v>
      </c>
    </row>
    <row r="11" spans="1:8">
      <c r="A11" t="s">
        <v>59</v>
      </c>
      <c r="B11" s="2">
        <f>Premissas!B6+Premissas!B12</f>
        <v>0.1542</v>
      </c>
      <c r="C11" s="2">
        <f>Premissas!B7-Premissas!B13</f>
        <v>4.5999999999999999E-2</v>
      </c>
      <c r="D11" s="2">
        <f>1-Premissas!B14</f>
        <v>0.9</v>
      </c>
      <c r="E11" s="3">
        <f>SUMPRODUCT(Fluxos_DCF!$B$4:$F$4,D11/(1+B11)^Fluxos_DCF!$B$3:$F$3)</f>
        <v>1028617.0145577805</v>
      </c>
      <c r="F11" s="3">
        <f>(Fluxos_DCF!$F$4*D11*(1+C11)/(B11-C11))/(1+B11)^Premissas!$B$10</f>
        <v>1733635.7733083814</v>
      </c>
      <c r="G11" s="3">
        <f>E11+F11</f>
        <v>2762252.7878661621</v>
      </c>
      <c r="H11" s="3">
        <f>G11-Premissas!$B$11</f>
        <v>762252.78786616214</v>
      </c>
    </row>
    <row r="13" spans="1:8">
      <c r="A13" s="12" t="s">
        <v>60</v>
      </c>
      <c r="B13" s="12"/>
      <c r="C13" s="12"/>
      <c r="D13" s="12"/>
      <c r="E13" s="12"/>
      <c r="F13" s="12"/>
      <c r="G13" s="12"/>
      <c r="H13" s="12"/>
    </row>
  </sheetData>
  <mergeCells count="2">
    <mergeCell ref="A1:H1"/>
    <mergeCell ref="A13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tabSelected="1" zoomScaleNormal="100" zoomScaleSheetLayoutView="100" workbookViewId="0"/>
  </sheetViews>
  <sheetFormatPr defaultRowHeight="15"/>
  <cols>
    <col min="1" max="1" width="18" customWidth="1"/>
    <col min="2" max="2" width="52" customWidth="1"/>
    <col min="3" max="3" width="105" customWidth="1"/>
  </cols>
  <sheetData>
    <row r="1" spans="1:3">
      <c r="A1" s="6" t="s">
        <v>61</v>
      </c>
      <c r="B1" s="6" t="s">
        <v>62</v>
      </c>
      <c r="C1" s="6" t="s">
        <v>63</v>
      </c>
    </row>
    <row r="2" spans="1:3">
      <c r="A2" s="7" t="s">
        <v>64</v>
      </c>
      <c r="B2" s="7" t="s">
        <v>65</v>
      </c>
      <c r="C2" s="7" t="s">
        <v>66</v>
      </c>
    </row>
    <row r="3" spans="1:3">
      <c r="A3" s="7" t="s">
        <v>67</v>
      </c>
      <c r="B3" s="7" t="s">
        <v>68</v>
      </c>
      <c r="C3" s="7" t="s">
        <v>69</v>
      </c>
    </row>
    <row r="4" spans="1:3">
      <c r="A4" s="7" t="s">
        <v>70</v>
      </c>
      <c r="B4" s="7" t="s">
        <v>71</v>
      </c>
      <c r="C4" s="7" t="s">
        <v>72</v>
      </c>
    </row>
    <row r="5" spans="1:3">
      <c r="A5" s="7" t="s">
        <v>26</v>
      </c>
      <c r="B5" s="7" t="s">
        <v>73</v>
      </c>
      <c r="C5" s="7" t="s">
        <v>74</v>
      </c>
    </row>
    <row r="6" spans="1:3">
      <c r="A6" s="7" t="s">
        <v>75</v>
      </c>
      <c r="B6" s="7" t="s">
        <v>76</v>
      </c>
      <c r="C6" s="7" t="s">
        <v>77</v>
      </c>
    </row>
    <row r="7" spans="1:3">
      <c r="A7" s="7" t="s">
        <v>78</v>
      </c>
      <c r="B7" s="7" t="s">
        <v>79</v>
      </c>
      <c r="C7" s="7" t="s">
        <v>80</v>
      </c>
    </row>
    <row r="8" spans="1:3">
      <c r="A8" s="7" t="s">
        <v>81</v>
      </c>
      <c r="B8" s="7" t="s">
        <v>82</v>
      </c>
      <c r="C8" s="7" t="s">
        <v>83</v>
      </c>
    </row>
    <row r="9" spans="1:3">
      <c r="A9" s="7" t="s">
        <v>84</v>
      </c>
      <c r="B9" s="7" t="s">
        <v>85</v>
      </c>
      <c r="C9" s="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2026-10-25T20:36:08Z</dcterms:created>
  <dcterms:modified xsi:type="dcterms:W3CDTF">2026-10-25T20:36:08Z</dcterms:modified>
  <cp:category/>
  <cp:contentStatus/>
</cp:coreProperties>
</file>