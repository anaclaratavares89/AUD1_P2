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 showInkAnnotation="0" autoCompressPictures="0"/>
  <xr:revisionPtr revIDLastSave="0" documentId="8_{173D905F-7CD4-4185-B59F-7D6A62B01B3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usto consolidado" sheetId="1" r:id="rId1"/>
    <sheet name="Amortização" sheetId="2" r:id="rId2"/>
    <sheet name="Conciliação" sheetId="3" r:id="rId3"/>
    <sheet name="Goodwill por UGC" sheetId="4" r:id="rId4"/>
    <sheet name="Instruções e fontes" sheetId="5" r:id="rId5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4" l="1"/>
  <c r="D7" i="4"/>
  <c r="C7" i="4"/>
  <c r="B7" i="4"/>
  <c r="I12" i="3"/>
  <c r="H10" i="3"/>
  <c r="G10" i="3"/>
  <c r="F10" i="3"/>
  <c r="E10" i="3"/>
  <c r="D10" i="3"/>
  <c r="C10" i="3"/>
  <c r="B10" i="3"/>
  <c r="H9" i="3"/>
  <c r="H11" i="3" s="1"/>
  <c r="G9" i="3"/>
  <c r="G11" i="3" s="1"/>
  <c r="F9" i="3"/>
  <c r="F11" i="3" s="1"/>
  <c r="E9" i="3"/>
  <c r="E11" i="3" s="1"/>
  <c r="D9" i="3"/>
  <c r="D11" i="3" s="1"/>
  <c r="C9" i="3"/>
  <c r="C11" i="3" s="1"/>
  <c r="B9" i="3"/>
  <c r="B11" i="3" s="1"/>
  <c r="I7" i="3"/>
  <c r="H5" i="3"/>
  <c r="G5" i="3"/>
  <c r="F5" i="3"/>
  <c r="E5" i="3"/>
  <c r="D5" i="3"/>
  <c r="C5" i="3"/>
  <c r="B5" i="3"/>
  <c r="H4" i="3"/>
  <c r="H6" i="3" s="1"/>
  <c r="H8" i="3" s="1"/>
  <c r="G4" i="3"/>
  <c r="G6" i="3" s="1"/>
  <c r="G8" i="3" s="1"/>
  <c r="F4" i="3"/>
  <c r="F6" i="3" s="1"/>
  <c r="F8" i="3" s="1"/>
  <c r="E4" i="3"/>
  <c r="E6" i="3" s="1"/>
  <c r="E8" i="3" s="1"/>
  <c r="D4" i="3"/>
  <c r="D6" i="3" s="1"/>
  <c r="D8" i="3" s="1"/>
  <c r="C4" i="3"/>
  <c r="C6" i="3" s="1"/>
  <c r="C8" i="3" s="1"/>
  <c r="B4" i="3"/>
  <c r="B6" i="3" s="1"/>
  <c r="B8" i="3" s="1"/>
  <c r="H12" i="2"/>
  <c r="G12" i="2"/>
  <c r="F12" i="2"/>
  <c r="E12" i="2"/>
  <c r="D12" i="2"/>
  <c r="C12" i="2"/>
  <c r="B12" i="2"/>
  <c r="I10" i="2"/>
  <c r="I9" i="2"/>
  <c r="I8" i="2"/>
  <c r="I7" i="2"/>
  <c r="I6" i="2"/>
  <c r="I5" i="2"/>
  <c r="I4" i="2"/>
  <c r="I5" i="3" s="1"/>
  <c r="H12" i="1"/>
  <c r="G12" i="1"/>
  <c r="F12" i="1"/>
  <c r="E12" i="1"/>
  <c r="D12" i="1"/>
  <c r="C12" i="1"/>
  <c r="B12" i="1"/>
  <c r="I10" i="1"/>
  <c r="I9" i="1"/>
  <c r="I8" i="1"/>
  <c r="I7" i="1"/>
  <c r="I6" i="1"/>
  <c r="I5" i="1"/>
  <c r="I4" i="1"/>
  <c r="I4" i="3" s="1"/>
  <c r="I6" i="3" s="1"/>
  <c r="I8" i="3" s="1"/>
  <c r="I9" i="3" l="1"/>
  <c r="I12" i="1"/>
  <c r="I10" i="3"/>
  <c r="I12" i="2"/>
  <c r="B14" i="3"/>
  <c r="B15" i="3" s="1"/>
  <c r="B13" i="3"/>
  <c r="C14" i="3"/>
  <c r="C15" i="3" s="1"/>
  <c r="C13" i="3"/>
  <c r="D14" i="3"/>
  <c r="D15" i="3" s="1"/>
  <c r="D13" i="3"/>
  <c r="E14" i="3"/>
  <c r="E15" i="3" s="1"/>
  <c r="E13" i="3"/>
  <c r="F14" i="3"/>
  <c r="F15" i="3" s="1"/>
  <c r="F13" i="3"/>
  <c r="G14" i="3"/>
  <c r="G15" i="3" s="1"/>
  <c r="G13" i="3"/>
  <c r="H14" i="3"/>
  <c r="H15" i="3" s="1"/>
  <c r="H13" i="3"/>
  <c r="I11" i="3" l="1"/>
  <c r="I14" i="3" l="1"/>
  <c r="I15" i="3" s="1"/>
  <c r="I13" i="3"/>
</calcChain>
</file>

<file path=xl/sharedStrings.xml><?xml version="1.0" encoding="utf-8"?>
<sst xmlns="http://schemas.openxmlformats.org/spreadsheetml/2006/main" count="100" uniqueCount="73">
  <si>
    <t>NOTA 15 | Custo dos intangíveis — Consolidado 2025</t>
  </si>
  <si>
    <t>Movimentação</t>
  </si>
  <si>
    <t>Software</t>
  </si>
  <si>
    <t>Marcas e patentes</t>
  </si>
  <si>
    <t>Carteira de clientes</t>
  </si>
  <si>
    <t>Ativos de desenvolvimento</t>
  </si>
  <si>
    <t>Direito de uso de licenças</t>
  </si>
  <si>
    <t>Outros</t>
  </si>
  <si>
    <t>Goodwill</t>
  </si>
  <si>
    <t>Total (R$ mil)</t>
  </si>
  <si>
    <t>Saldo 2024</t>
  </si>
  <si>
    <t>Adições</t>
  </si>
  <si>
    <t>Combinação de negócios</t>
  </si>
  <si>
    <t>Variação cambial</t>
  </si>
  <si>
    <t>Baixas</t>
  </si>
  <si>
    <t>Ativo mantido para venda</t>
  </si>
  <si>
    <t>Saldo 2025</t>
  </si>
  <si>
    <t>Diferença: saldo informado menos movimentação</t>
  </si>
  <si>
    <t>Fonte: DFP TOTVS 2025, Nota 15, página 51 de 76 (consolidado), valores em R$ mil.</t>
  </si>
  <si>
    <t>NOTA 15 | Amortização acumulada — Consolidado 2025</t>
  </si>
  <si>
    <t>Amortização do exercício</t>
  </si>
  <si>
    <t>Fonte: DFP TOTVS 2025, Nota 15, página 51 de 76. Amortização expressa com sinal negativo.</t>
  </si>
  <si>
    <t>CONCILIAÇÃO | Saldos líquidos de intangíveis 2024–2025</t>
  </si>
  <si>
    <t>Indicador</t>
  </si>
  <si>
    <t>Custo 2024</t>
  </si>
  <si>
    <t>Amortização 2024</t>
  </si>
  <si>
    <t>Líquido 2024 (calculado)</t>
  </si>
  <si>
    <t>Líquido 2024 (publicado)</t>
  </si>
  <si>
    <t>Diferença 2024</t>
  </si>
  <si>
    <t>Custo 2025</t>
  </si>
  <si>
    <t>Amortização 2025</t>
  </si>
  <si>
    <t>Líquido 2025 (calculado)</t>
  </si>
  <si>
    <t>Líquido 2025 (publicado)</t>
  </si>
  <si>
    <t>Diferença 2025</t>
  </si>
  <si>
    <t>Variação líquida 2025 vs 2024</t>
  </si>
  <si>
    <t>Variação percentual</t>
  </si>
  <si>
    <t>Conclusão: diferenças de reconciliação esperadas iguais a zero. A conciliação é apenas dos valores públicos, não de registros analíticos reais.</t>
  </si>
  <si>
    <t>Nota: as movimentações incluem reclassificação para ativos mantidos para venda, que afeta custo e amortização acumulada.</t>
  </si>
  <si>
    <t>NOTA 15.1 | Goodwill por UGC e principais movimentos</t>
  </si>
  <si>
    <t>UGC</t>
  </si>
  <si>
    <t>Combinações 2025</t>
  </si>
  <si>
    <t>Mantido para venda</t>
  </si>
  <si>
    <t>Gestão</t>
  </si>
  <si>
    <t>Dimensa</t>
  </si>
  <si>
    <t>RD</t>
  </si>
  <si>
    <t>Total</t>
  </si>
  <si>
    <t>Referência: Nota 15.1, pág. 52 de 76. Goodwill não é amortizado; avaliar recuperabilidade por UGC.</t>
  </si>
  <si>
    <t>CONCILIAÇÃO DOS INTANGÍVEIS — TOTVS S.A. (2025)</t>
  </si>
  <si>
    <t>Natureza</t>
  </si>
  <si>
    <t>Conciliação documental com base em informações públicas. Não representa auditoria de razão analítico.</t>
  </si>
  <si>
    <t>Unidade</t>
  </si>
  <si>
    <t>Todos os valores monetários em milhares de reais (R$ mil).</t>
  </si>
  <si>
    <t>Escopo</t>
  </si>
  <si>
    <t>Demonstrações CONSOLIDADAS; 2024 comparativo e 2025 exercício-base.</t>
  </si>
  <si>
    <t>Fonte</t>
  </si>
  <si>
    <t>TOTVS S.A. DFP 31/12/2025 — Notas Explicativas, Nota 15, páginas 49–53 de 76.</t>
  </si>
  <si>
    <t>Link</t>
  </si>
  <si>
    <t>https://www.rad.cvm.gov.br/</t>
  </si>
  <si>
    <t>Arquivos</t>
  </si>
  <si>
    <t>DFP TOTVS 2025 e notas explicativas anexadas pelo usuário.</t>
  </si>
  <si>
    <t>Lógica</t>
  </si>
  <si>
    <t>Saldo final = saldo inicial + adições + combinações + câmbio + baixas + reclassificações; custo e amortização segregados.</t>
  </si>
  <si>
    <t>Sinal</t>
  </si>
  <si>
    <t>Amortização acumulada negativa; movimentos positivos representam reversões/baixas da amortização.</t>
  </si>
  <si>
    <t>Controle</t>
  </si>
  <si>
    <t>As colunas Diferença 2024 e Diferença 2025 devem apresentar zero em todas as classes.</t>
  </si>
  <si>
    <t>Não sujeito à amortização; analisado por unidades geradoras de caixa.</t>
  </si>
  <si>
    <t>Limitação</t>
  </si>
  <si>
    <t>Os dados publicados não permitem verificar individualmente ativos, documentos de suporte ou testes de impairment.</t>
  </si>
  <si>
    <t>Próximo passo</t>
  </si>
  <si>
    <t>Usar saldos por classe como controle da futura base SINTÉTICA de 500.000 registros.</t>
  </si>
  <si>
    <t>Preparador</t>
  </si>
  <si>
    <t>Matrícula 241021687 — trabalho acadêmico, sem revisão profissional simulada.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</si>
</sst>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\(#,##0\);\–"/>
  </numFmts>
  <fonts count="4">
    <font>
      <sz val="11"/>
      <name val="Carlito"/>
    </font>
    <font>
      <sz val="11"/>
      <color rgb="FFFFFFFF"/>
      <name val="Carlito"/>
    </font>
    <font>
      <b/>
      <sz val="11"/>
      <color rgb="FFFFFFFF"/>
      <name val="Carlito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5304D"/>
      </patternFill>
    </fill>
    <fill>
      <patternFill patternType="solid">
        <fgColor rgb="FF176B81"/>
      </patternFill>
    </fill>
    <fill>
      <patternFill patternType="solid">
        <fgColor rgb="FFD9EB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1" fillId="3" borderId="0" xfId="0" applyFont="1" applyFill="1"/>
    <xf numFmtId="0" fontId="2" fillId="3" borderId="0" xfId="0" applyFont="1" applyFill="1"/>
    <xf numFmtId="164" fontId="0" fillId="0" borderId="0" xfId="0" applyNumberFormat="1"/>
    <xf numFmtId="10" fontId="0" fillId="0" borderId="0" xfId="0" applyNumberFormat="1"/>
    <xf numFmtId="0" fontId="3" fillId="4" borderId="0" xfId="0" applyFont="1" applyFill="1"/>
    <xf numFmtId="164" fontId="3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1" width="35" customWidth="1"/>
    <col min="2" max="8" width="21" customWidth="1"/>
    <col min="9" max="9" width="22" customWidth="1"/>
  </cols>
  <sheetData>
    <row r="1" spans="1:9" ht="30" customHeight="1">
      <c r="A1" s="2" t="s">
        <v>0</v>
      </c>
      <c r="B1" s="2"/>
      <c r="C1" s="2"/>
      <c r="D1" s="2"/>
      <c r="E1" s="2"/>
      <c r="F1" s="2"/>
      <c r="G1" s="2"/>
      <c r="H1" s="2"/>
      <c r="I1" s="2"/>
    </row>
    <row r="3" spans="1:9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</row>
    <row r="4" spans="1:9">
      <c r="A4" t="s">
        <v>10</v>
      </c>
      <c r="B4" s="5">
        <v>989118</v>
      </c>
      <c r="C4" s="5">
        <v>143707</v>
      </c>
      <c r="D4" s="5">
        <v>806276</v>
      </c>
      <c r="E4" s="5">
        <v>167654</v>
      </c>
      <c r="F4" s="5">
        <v>0</v>
      </c>
      <c r="G4" s="5">
        <v>83627</v>
      </c>
      <c r="H4" s="5">
        <v>3381795</v>
      </c>
      <c r="I4" s="5">
        <f>SUM(B4:H4)</f>
        <v>5572177</v>
      </c>
    </row>
    <row r="5" spans="1:9">
      <c r="A5" t="s">
        <v>11</v>
      </c>
      <c r="B5" s="5">
        <v>27633</v>
      </c>
      <c r="C5" s="5">
        <v>9941</v>
      </c>
      <c r="D5" s="5">
        <v>2580</v>
      </c>
      <c r="E5" s="5">
        <v>67611</v>
      </c>
      <c r="F5" s="5">
        <v>20834</v>
      </c>
      <c r="G5" s="5">
        <v>0</v>
      </c>
      <c r="H5" s="5">
        <v>0</v>
      </c>
      <c r="I5" s="5">
        <f>SUM(B5:H5)</f>
        <v>128599</v>
      </c>
    </row>
    <row r="6" spans="1:9">
      <c r="A6" t="s">
        <v>12</v>
      </c>
      <c r="B6" s="5">
        <v>94</v>
      </c>
      <c r="C6" s="5">
        <v>63</v>
      </c>
      <c r="D6" s="5">
        <v>0</v>
      </c>
      <c r="E6" s="5">
        <v>-345</v>
      </c>
      <c r="F6" s="5">
        <v>0</v>
      </c>
      <c r="G6" s="5">
        <v>-917</v>
      </c>
      <c r="H6" s="5">
        <v>8180</v>
      </c>
      <c r="I6" s="5">
        <f>SUM(B6:H6)</f>
        <v>7075</v>
      </c>
    </row>
    <row r="7" spans="1:9">
      <c r="A7" t="s">
        <v>13</v>
      </c>
      <c r="B7" s="5">
        <v>-95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f>SUM(B7:H7)</f>
        <v>-95</v>
      </c>
    </row>
    <row r="8" spans="1:9">
      <c r="A8" t="s">
        <v>14</v>
      </c>
      <c r="B8" s="5">
        <v>0</v>
      </c>
      <c r="C8" s="5">
        <v>0</v>
      </c>
      <c r="D8" s="5">
        <v>-277</v>
      </c>
      <c r="E8" s="5">
        <v>-3056</v>
      </c>
      <c r="F8" s="5">
        <v>0</v>
      </c>
      <c r="G8" s="5">
        <v>0</v>
      </c>
      <c r="H8" s="5">
        <v>0</v>
      </c>
      <c r="I8" s="5">
        <f>SUM(B8:H8)</f>
        <v>-3333</v>
      </c>
    </row>
    <row r="9" spans="1:9">
      <c r="A9" t="s">
        <v>15</v>
      </c>
      <c r="B9" s="5">
        <v>-37076</v>
      </c>
      <c r="C9" s="5">
        <v>0</v>
      </c>
      <c r="D9" s="5">
        <v>-71725</v>
      </c>
      <c r="E9" s="5">
        <v>-8200</v>
      </c>
      <c r="F9" s="5">
        <v>0</v>
      </c>
      <c r="G9" s="5">
        <v>-1373</v>
      </c>
      <c r="H9" s="5">
        <v>-222836</v>
      </c>
      <c r="I9" s="5">
        <f>SUM(B9:H9)</f>
        <v>-341210</v>
      </c>
    </row>
    <row r="10" spans="1:9">
      <c r="A10" s="7" t="s">
        <v>16</v>
      </c>
      <c r="B10" s="8">
        <v>979674</v>
      </c>
      <c r="C10" s="8">
        <v>153711</v>
      </c>
      <c r="D10" s="8">
        <v>736854</v>
      </c>
      <c r="E10" s="8">
        <v>223664</v>
      </c>
      <c r="F10" s="8">
        <v>20834</v>
      </c>
      <c r="G10" s="8">
        <v>81337</v>
      </c>
      <c r="H10" s="8">
        <v>3167139</v>
      </c>
      <c r="I10" s="8">
        <f>SUM(B10:H10)</f>
        <v>5363213</v>
      </c>
    </row>
    <row r="11" spans="1:9">
      <c r="B11" s="5"/>
      <c r="C11" s="5"/>
      <c r="D11" s="5"/>
      <c r="E11" s="5"/>
      <c r="F11" s="5"/>
      <c r="G11" s="5"/>
      <c r="H11" s="5"/>
      <c r="I11" s="5"/>
    </row>
    <row r="12" spans="1:9">
      <c r="A12" t="s">
        <v>17</v>
      </c>
      <c r="B12" s="5">
        <f>B10-SUM(B4:B9)</f>
        <v>0</v>
      </c>
      <c r="C12" s="5">
        <f>C10-SUM(C4:C9)</f>
        <v>0</v>
      </c>
      <c r="D12" s="5">
        <f>D10-SUM(D4:D9)</f>
        <v>0</v>
      </c>
      <c r="E12" s="5">
        <f>E10-SUM(E4:E9)</f>
        <v>0</v>
      </c>
      <c r="F12" s="5">
        <f>F10-SUM(F4:F9)</f>
        <v>0</v>
      </c>
      <c r="G12" s="5">
        <f>G10-SUM(G4:G9)</f>
        <v>0</v>
      </c>
      <c r="H12" s="5">
        <f>H10-SUM(H4:H9)</f>
        <v>0</v>
      </c>
      <c r="I12" s="5">
        <f>I10-SUM(I4:I9)</f>
        <v>0</v>
      </c>
    </row>
    <row r="13" spans="1:9">
      <c r="B13" s="5"/>
      <c r="C13" s="5"/>
      <c r="D13" s="5"/>
      <c r="E13" s="5"/>
      <c r="F13" s="5"/>
      <c r="G13" s="5"/>
      <c r="H13" s="5"/>
      <c r="I13" s="5"/>
    </row>
    <row r="14" spans="1:9">
      <c r="A14" t="s">
        <v>18</v>
      </c>
      <c r="B14" s="5"/>
      <c r="C14" s="5"/>
      <c r="D14" s="5"/>
      <c r="E14" s="5"/>
      <c r="F14" s="5"/>
      <c r="G14" s="5"/>
      <c r="H14" s="5"/>
      <c r="I14" s="5"/>
    </row>
    <row r="15" spans="1:9">
      <c r="B15" s="5"/>
      <c r="C15" s="5"/>
      <c r="D15" s="5"/>
      <c r="E15" s="5"/>
      <c r="F15" s="5"/>
      <c r="G15" s="5"/>
      <c r="H15" s="5"/>
      <c r="I15" s="5"/>
    </row>
    <row r="16" spans="1:9">
      <c r="B16" s="5"/>
      <c r="C16" s="5"/>
      <c r="D16" s="5"/>
      <c r="E16" s="5"/>
      <c r="F16" s="5"/>
      <c r="G16" s="5"/>
      <c r="H16" s="5"/>
      <c r="I16" s="5"/>
    </row>
    <row r="17" spans="2:9">
      <c r="B17" s="5"/>
      <c r="C17" s="5"/>
      <c r="D17" s="5"/>
      <c r="E17" s="5"/>
      <c r="F17" s="5"/>
      <c r="G17" s="5"/>
      <c r="H17" s="5"/>
      <c r="I17" s="5"/>
    </row>
    <row r="18" spans="2:9">
      <c r="B18" s="5"/>
      <c r="C18" s="5"/>
      <c r="D18" s="5"/>
      <c r="E18" s="5"/>
      <c r="F18" s="5"/>
      <c r="G18" s="5"/>
      <c r="H18" s="5"/>
      <c r="I18" s="5"/>
    </row>
    <row r="19" spans="2:9">
      <c r="B19" s="5"/>
      <c r="C19" s="5"/>
      <c r="D19" s="5"/>
      <c r="E19" s="5"/>
      <c r="F19" s="5"/>
      <c r="G19" s="5"/>
      <c r="H19" s="5"/>
      <c r="I19" s="5"/>
    </row>
    <row r="20" spans="2:9">
      <c r="B20" s="5"/>
      <c r="C20" s="5"/>
      <c r="D20" s="5"/>
      <c r="E20" s="5"/>
      <c r="F20" s="5"/>
      <c r="G20" s="5"/>
      <c r="H20" s="5"/>
      <c r="I20" s="5"/>
    </row>
    <row r="21" spans="2:9">
      <c r="B21" s="5"/>
      <c r="C21" s="5"/>
      <c r="D21" s="5"/>
      <c r="E21" s="5"/>
      <c r="F21" s="5"/>
      <c r="G21" s="5"/>
      <c r="H21" s="5"/>
      <c r="I21" s="5"/>
    </row>
    <row r="22" spans="2:9">
      <c r="B22" s="5"/>
      <c r="C22" s="5"/>
      <c r="D22" s="5"/>
      <c r="E22" s="5"/>
      <c r="F22" s="5"/>
      <c r="G22" s="5"/>
      <c r="H22" s="5"/>
      <c r="I22" s="5"/>
    </row>
    <row r="23" spans="2:9">
      <c r="B23" s="5"/>
      <c r="C23" s="5"/>
      <c r="D23" s="5"/>
      <c r="E23" s="5"/>
      <c r="F23" s="5"/>
      <c r="G23" s="5"/>
      <c r="H23" s="5"/>
      <c r="I23" s="5"/>
    </row>
    <row r="24" spans="2:9">
      <c r="B24" s="5"/>
      <c r="C24" s="5"/>
      <c r="D24" s="5"/>
      <c r="E24" s="5"/>
      <c r="F24" s="5"/>
      <c r="G24" s="5"/>
      <c r="H24" s="5"/>
      <c r="I24" s="5"/>
    </row>
    <row r="25" spans="2:9">
      <c r="B25" s="5"/>
      <c r="C25" s="5"/>
      <c r="D25" s="5"/>
      <c r="E25" s="5"/>
      <c r="F25" s="5"/>
      <c r="G25" s="5"/>
      <c r="H25" s="5"/>
      <c r="I25" s="5"/>
    </row>
    <row r="26" spans="2:9">
      <c r="B26" s="5"/>
      <c r="C26" s="5"/>
      <c r="D26" s="5"/>
      <c r="E26" s="5"/>
      <c r="F26" s="5"/>
      <c r="G26" s="5"/>
      <c r="H26" s="5"/>
      <c r="I26" s="5"/>
    </row>
    <row r="27" spans="2:9">
      <c r="B27" s="5"/>
      <c r="C27" s="5"/>
      <c r="D27" s="5"/>
      <c r="E27" s="5"/>
      <c r="F27" s="5"/>
      <c r="G27" s="5"/>
      <c r="H27" s="5"/>
      <c r="I27" s="5"/>
    </row>
    <row r="28" spans="2:9">
      <c r="B28" s="5"/>
      <c r="C28" s="5"/>
      <c r="D28" s="5"/>
      <c r="E28" s="5"/>
      <c r="F28" s="5"/>
      <c r="G28" s="5"/>
      <c r="H28" s="5"/>
      <c r="I28" s="5"/>
    </row>
    <row r="29" spans="2:9">
      <c r="B29" s="5"/>
      <c r="C29" s="5"/>
      <c r="D29" s="5"/>
      <c r="E29" s="5"/>
      <c r="F29" s="5"/>
      <c r="G29" s="5"/>
      <c r="H29" s="5"/>
      <c r="I29" s="5"/>
    </row>
    <row r="30" spans="2:9">
      <c r="B30" s="5"/>
      <c r="C30" s="5"/>
      <c r="D30" s="5"/>
      <c r="E30" s="5"/>
      <c r="F30" s="5"/>
      <c r="G30" s="5"/>
      <c r="H30" s="5"/>
      <c r="I30" s="5"/>
    </row>
    <row r="31" spans="2:9">
      <c r="B31" s="5"/>
      <c r="C31" s="5"/>
      <c r="D31" s="5"/>
      <c r="E31" s="5"/>
      <c r="F31" s="5"/>
      <c r="G31" s="5"/>
      <c r="H31" s="5"/>
      <c r="I31" s="5"/>
    </row>
    <row r="32" spans="2:9">
      <c r="B32" s="5"/>
      <c r="C32" s="5"/>
      <c r="D32" s="5"/>
      <c r="E32" s="5"/>
      <c r="F32" s="5"/>
      <c r="G32" s="5"/>
      <c r="H32" s="5"/>
      <c r="I32" s="5"/>
    </row>
    <row r="33" spans="2:9">
      <c r="B33" s="5"/>
      <c r="C33" s="5"/>
      <c r="D33" s="5"/>
      <c r="E33" s="5"/>
      <c r="F33" s="5"/>
      <c r="G33" s="5"/>
      <c r="H33" s="5"/>
      <c r="I33" s="5"/>
    </row>
    <row r="34" spans="2:9">
      <c r="B34" s="5"/>
      <c r="C34" s="5"/>
      <c r="D34" s="5"/>
      <c r="E34" s="5"/>
      <c r="F34" s="5"/>
      <c r="G34" s="5"/>
      <c r="H34" s="5"/>
      <c r="I34" s="5"/>
    </row>
    <row r="35" spans="2:9">
      <c r="B35" s="5"/>
      <c r="C35" s="5"/>
      <c r="D35" s="5"/>
      <c r="E35" s="5"/>
      <c r="F35" s="5"/>
      <c r="G35" s="5"/>
      <c r="H35" s="5"/>
      <c r="I35" s="5"/>
    </row>
    <row r="36" spans="2:9">
      <c r="B36" s="5"/>
      <c r="C36" s="5"/>
      <c r="D36" s="5"/>
      <c r="E36" s="5"/>
      <c r="F36" s="5"/>
      <c r="G36" s="5"/>
      <c r="H36" s="5"/>
      <c r="I36" s="5"/>
    </row>
    <row r="37" spans="2:9">
      <c r="B37" s="5"/>
      <c r="C37" s="5"/>
      <c r="D37" s="5"/>
      <c r="E37" s="5"/>
      <c r="F37" s="5"/>
      <c r="G37" s="5"/>
      <c r="H37" s="5"/>
      <c r="I37" s="5"/>
    </row>
    <row r="38" spans="2:9">
      <c r="B38" s="5"/>
      <c r="C38" s="5"/>
      <c r="D38" s="5"/>
      <c r="E38" s="5"/>
      <c r="F38" s="5"/>
      <c r="G38" s="5"/>
      <c r="H38" s="5"/>
      <c r="I38" s="5"/>
    </row>
    <row r="39" spans="2:9">
      <c r="B39" s="5"/>
      <c r="C39" s="5"/>
      <c r="D39" s="5"/>
      <c r="E39" s="5"/>
      <c r="F39" s="5"/>
      <c r="G39" s="5"/>
      <c r="H39" s="5"/>
      <c r="I39" s="5"/>
    </row>
    <row r="40" spans="2:9">
      <c r="B40" s="5"/>
      <c r="C40" s="5"/>
      <c r="D40" s="5"/>
      <c r="E40" s="5"/>
      <c r="F40" s="5"/>
      <c r="G40" s="5"/>
      <c r="H40" s="5"/>
      <c r="I40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0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35" customWidth="1"/>
    <col min="2" max="8" width="21" customWidth="1"/>
    <col min="9" max="9" width="22" customWidth="1"/>
  </cols>
  <sheetData>
    <row r="1" spans="1:9" ht="30" customHeight="1">
      <c r="A1" s="2" t="s">
        <v>19</v>
      </c>
      <c r="B1" s="2"/>
      <c r="C1" s="2"/>
      <c r="D1" s="2"/>
      <c r="E1" s="2"/>
      <c r="F1" s="2"/>
      <c r="G1" s="2"/>
      <c r="H1" s="2"/>
      <c r="I1" s="2"/>
    </row>
    <row r="3" spans="1:9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</row>
    <row r="4" spans="1:9">
      <c r="A4" t="s">
        <v>10</v>
      </c>
      <c r="B4" s="5">
        <v>-627588</v>
      </c>
      <c r="C4" s="5">
        <v>-101445</v>
      </c>
      <c r="D4" s="5">
        <v>-469830</v>
      </c>
      <c r="E4" s="5">
        <v>-49692</v>
      </c>
      <c r="F4" s="5">
        <v>0</v>
      </c>
      <c r="G4" s="5">
        <v>-62397</v>
      </c>
      <c r="H4" s="5">
        <v>0</v>
      </c>
      <c r="I4" s="5">
        <f>SUM(B4:H4)</f>
        <v>-1310952</v>
      </c>
    </row>
    <row r="5" spans="1:9">
      <c r="A5" t="s">
        <v>20</v>
      </c>
      <c r="B5" s="5">
        <v>-75812</v>
      </c>
      <c r="C5" s="5">
        <v>-5471</v>
      </c>
      <c r="D5" s="5">
        <v>-64042</v>
      </c>
      <c r="E5" s="5">
        <v>-19816</v>
      </c>
      <c r="F5" s="5">
        <v>-3906</v>
      </c>
      <c r="G5" s="5">
        <v>-4367</v>
      </c>
      <c r="H5" s="5">
        <v>0</v>
      </c>
      <c r="I5" s="5">
        <f>SUM(B5:H5)</f>
        <v>-173414</v>
      </c>
    </row>
    <row r="6" spans="1:9">
      <c r="A6" t="s">
        <v>12</v>
      </c>
      <c r="B6" s="5">
        <v>0</v>
      </c>
      <c r="C6" s="5">
        <v>-1</v>
      </c>
      <c r="D6" s="5">
        <v>0</v>
      </c>
      <c r="E6" s="5">
        <v>-5</v>
      </c>
      <c r="F6" s="5">
        <v>0</v>
      </c>
      <c r="G6" s="5">
        <v>0</v>
      </c>
      <c r="H6" s="5">
        <v>0</v>
      </c>
      <c r="I6" s="5">
        <f>SUM(B6:H6)</f>
        <v>-6</v>
      </c>
    </row>
    <row r="7" spans="1:9">
      <c r="A7" t="s">
        <v>13</v>
      </c>
      <c r="B7" s="5">
        <v>76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f>SUM(B7:H7)</f>
        <v>76</v>
      </c>
    </row>
    <row r="8" spans="1:9">
      <c r="A8" t="s">
        <v>14</v>
      </c>
      <c r="B8" s="5">
        <v>0</v>
      </c>
      <c r="C8" s="5">
        <v>0</v>
      </c>
      <c r="D8" s="5">
        <v>142</v>
      </c>
      <c r="E8" s="5">
        <v>616</v>
      </c>
      <c r="F8" s="5">
        <v>0</v>
      </c>
      <c r="G8" s="5">
        <v>0</v>
      </c>
      <c r="H8" s="5">
        <v>0</v>
      </c>
      <c r="I8" s="5">
        <f>SUM(B8:H8)</f>
        <v>758</v>
      </c>
    </row>
    <row r="9" spans="1:9">
      <c r="A9" t="s">
        <v>15</v>
      </c>
      <c r="B9" s="5">
        <v>13505</v>
      </c>
      <c r="C9" s="5">
        <v>0</v>
      </c>
      <c r="D9" s="5">
        <v>7865</v>
      </c>
      <c r="E9" s="5">
        <v>2625</v>
      </c>
      <c r="F9" s="5">
        <v>0</v>
      </c>
      <c r="G9" s="5">
        <v>583</v>
      </c>
      <c r="H9" s="5">
        <v>0</v>
      </c>
      <c r="I9" s="5">
        <f>SUM(B9:H9)</f>
        <v>24578</v>
      </c>
    </row>
    <row r="10" spans="1:9">
      <c r="A10" s="7" t="s">
        <v>16</v>
      </c>
      <c r="B10" s="8">
        <v>-689819</v>
      </c>
      <c r="C10" s="8">
        <v>-106917</v>
      </c>
      <c r="D10" s="8">
        <v>-525865</v>
      </c>
      <c r="E10" s="8">
        <v>-66272</v>
      </c>
      <c r="F10" s="8">
        <v>-3906</v>
      </c>
      <c r="G10" s="8">
        <v>-66181</v>
      </c>
      <c r="H10" s="8">
        <v>0</v>
      </c>
      <c r="I10" s="8">
        <f>SUM(B10:H10)</f>
        <v>-1458960</v>
      </c>
    </row>
    <row r="11" spans="1:9">
      <c r="B11" s="5"/>
      <c r="C11" s="5"/>
      <c r="D11" s="5"/>
      <c r="E11" s="5"/>
      <c r="F11" s="5"/>
      <c r="G11" s="5"/>
      <c r="H11" s="5"/>
      <c r="I11" s="5"/>
    </row>
    <row r="12" spans="1:9">
      <c r="A12" t="s">
        <v>17</v>
      </c>
      <c r="B12" s="5">
        <f>B10-SUM(B4:B9)</f>
        <v>0</v>
      </c>
      <c r="C12" s="5">
        <f>C10-SUM(C4:C9)</f>
        <v>0</v>
      </c>
      <c r="D12" s="5">
        <f>D10-SUM(D4:D9)</f>
        <v>0</v>
      </c>
      <c r="E12" s="5">
        <f>E10-SUM(E4:E9)</f>
        <v>0</v>
      </c>
      <c r="F12" s="5">
        <f>F10-SUM(F4:F9)</f>
        <v>0</v>
      </c>
      <c r="G12" s="5">
        <f>G10-SUM(G4:G9)</f>
        <v>0</v>
      </c>
      <c r="H12" s="5">
        <f>H10-SUM(H4:H9)</f>
        <v>0</v>
      </c>
      <c r="I12" s="5">
        <f>I10-SUM(I4:I9)</f>
        <v>0</v>
      </c>
    </row>
    <row r="13" spans="1:9">
      <c r="B13" s="5"/>
      <c r="C13" s="5"/>
      <c r="D13" s="5"/>
      <c r="E13" s="5"/>
      <c r="F13" s="5"/>
      <c r="G13" s="5"/>
      <c r="H13" s="5"/>
      <c r="I13" s="5"/>
    </row>
    <row r="14" spans="1:9">
      <c r="A14" t="s">
        <v>21</v>
      </c>
      <c r="B14" s="5"/>
      <c r="C14" s="5"/>
      <c r="D14" s="5"/>
      <c r="E14" s="5"/>
      <c r="F14" s="5"/>
      <c r="G14" s="5"/>
      <c r="H14" s="5"/>
      <c r="I14" s="5"/>
    </row>
    <row r="15" spans="1:9">
      <c r="B15" s="5"/>
      <c r="C15" s="5"/>
      <c r="D15" s="5"/>
      <c r="E15" s="5"/>
      <c r="F15" s="5"/>
      <c r="G15" s="5"/>
      <c r="H15" s="5"/>
      <c r="I15" s="5"/>
    </row>
    <row r="16" spans="1:9">
      <c r="B16" s="5"/>
      <c r="C16" s="5"/>
      <c r="D16" s="5"/>
      <c r="E16" s="5"/>
      <c r="F16" s="5"/>
      <c r="G16" s="5"/>
      <c r="H16" s="5"/>
      <c r="I16" s="5"/>
    </row>
    <row r="17" spans="2:9">
      <c r="B17" s="5"/>
      <c r="C17" s="5"/>
      <c r="D17" s="5"/>
      <c r="E17" s="5"/>
      <c r="F17" s="5"/>
      <c r="G17" s="5"/>
      <c r="H17" s="5"/>
      <c r="I17" s="5"/>
    </row>
    <row r="18" spans="2:9">
      <c r="B18" s="5"/>
      <c r="C18" s="5"/>
      <c r="D18" s="5"/>
      <c r="E18" s="5"/>
      <c r="F18" s="5"/>
      <c r="G18" s="5"/>
      <c r="H18" s="5"/>
      <c r="I18" s="5"/>
    </row>
    <row r="19" spans="2:9">
      <c r="B19" s="5"/>
      <c r="C19" s="5"/>
      <c r="D19" s="5"/>
      <c r="E19" s="5"/>
      <c r="F19" s="5"/>
      <c r="G19" s="5"/>
      <c r="H19" s="5"/>
      <c r="I19" s="5"/>
    </row>
    <row r="20" spans="2:9">
      <c r="B20" s="5"/>
      <c r="C20" s="5"/>
      <c r="D20" s="5"/>
      <c r="E20" s="5"/>
      <c r="F20" s="5"/>
      <c r="G20" s="5"/>
      <c r="H20" s="5"/>
      <c r="I20" s="5"/>
    </row>
    <row r="21" spans="2:9">
      <c r="B21" s="5"/>
      <c r="C21" s="5"/>
      <c r="D21" s="5"/>
      <c r="E21" s="5"/>
      <c r="F21" s="5"/>
      <c r="G21" s="5"/>
      <c r="H21" s="5"/>
      <c r="I21" s="5"/>
    </row>
    <row r="22" spans="2:9">
      <c r="B22" s="5"/>
      <c r="C22" s="5"/>
      <c r="D22" s="5"/>
      <c r="E22" s="5"/>
      <c r="F22" s="5"/>
      <c r="G22" s="5"/>
      <c r="H22" s="5"/>
      <c r="I22" s="5"/>
    </row>
    <row r="23" spans="2:9">
      <c r="B23" s="5"/>
      <c r="C23" s="5"/>
      <c r="D23" s="5"/>
      <c r="E23" s="5"/>
      <c r="F23" s="5"/>
      <c r="G23" s="5"/>
      <c r="H23" s="5"/>
      <c r="I23" s="5"/>
    </row>
    <row r="24" spans="2:9">
      <c r="B24" s="5"/>
      <c r="C24" s="5"/>
      <c r="D24" s="5"/>
      <c r="E24" s="5"/>
      <c r="F24" s="5"/>
      <c r="G24" s="5"/>
      <c r="H24" s="5"/>
      <c r="I24" s="5"/>
    </row>
    <row r="25" spans="2:9">
      <c r="B25" s="5"/>
      <c r="C25" s="5"/>
      <c r="D25" s="5"/>
      <c r="E25" s="5"/>
      <c r="F25" s="5"/>
      <c r="G25" s="5"/>
      <c r="H25" s="5"/>
      <c r="I25" s="5"/>
    </row>
    <row r="26" spans="2:9">
      <c r="B26" s="5"/>
      <c r="C26" s="5"/>
      <c r="D26" s="5"/>
      <c r="E26" s="5"/>
      <c r="F26" s="5"/>
      <c r="G26" s="5"/>
      <c r="H26" s="5"/>
      <c r="I26" s="5"/>
    </row>
    <row r="27" spans="2:9">
      <c r="B27" s="5"/>
      <c r="C27" s="5"/>
      <c r="D27" s="5"/>
      <c r="E27" s="5"/>
      <c r="F27" s="5"/>
      <c r="G27" s="5"/>
      <c r="H27" s="5"/>
      <c r="I27" s="5"/>
    </row>
    <row r="28" spans="2:9">
      <c r="B28" s="5"/>
      <c r="C28" s="5"/>
      <c r="D28" s="5"/>
      <c r="E28" s="5"/>
      <c r="F28" s="5"/>
      <c r="G28" s="5"/>
      <c r="H28" s="5"/>
      <c r="I28" s="5"/>
    </row>
    <row r="29" spans="2:9">
      <c r="B29" s="5"/>
      <c r="C29" s="5"/>
      <c r="D29" s="5"/>
      <c r="E29" s="5"/>
      <c r="F29" s="5"/>
      <c r="G29" s="5"/>
      <c r="H29" s="5"/>
      <c r="I29" s="5"/>
    </row>
    <row r="30" spans="2:9">
      <c r="B30" s="5"/>
      <c r="C30" s="5"/>
      <c r="D30" s="5"/>
      <c r="E30" s="5"/>
      <c r="F30" s="5"/>
      <c r="G30" s="5"/>
      <c r="H30" s="5"/>
      <c r="I30" s="5"/>
    </row>
    <row r="31" spans="2:9">
      <c r="B31" s="5"/>
      <c r="C31" s="5"/>
      <c r="D31" s="5"/>
      <c r="E31" s="5"/>
      <c r="F31" s="5"/>
      <c r="G31" s="5"/>
      <c r="H31" s="5"/>
      <c r="I31" s="5"/>
    </row>
    <row r="32" spans="2:9">
      <c r="B32" s="5"/>
      <c r="C32" s="5"/>
      <c r="D32" s="5"/>
      <c r="E32" s="5"/>
      <c r="F32" s="5"/>
      <c r="G32" s="5"/>
      <c r="H32" s="5"/>
      <c r="I32" s="5"/>
    </row>
    <row r="33" spans="2:9">
      <c r="B33" s="5"/>
      <c r="C33" s="5"/>
      <c r="D33" s="5"/>
      <c r="E33" s="5"/>
      <c r="F33" s="5"/>
      <c r="G33" s="5"/>
      <c r="H33" s="5"/>
      <c r="I33" s="5"/>
    </row>
    <row r="34" spans="2:9">
      <c r="B34" s="5"/>
      <c r="C34" s="5"/>
      <c r="D34" s="5"/>
      <c r="E34" s="5"/>
      <c r="F34" s="5"/>
      <c r="G34" s="5"/>
      <c r="H34" s="5"/>
      <c r="I34" s="5"/>
    </row>
    <row r="35" spans="2:9">
      <c r="B35" s="5"/>
      <c r="C35" s="5"/>
      <c r="D35" s="5"/>
      <c r="E35" s="5"/>
      <c r="F35" s="5"/>
      <c r="G35" s="5"/>
      <c r="H35" s="5"/>
      <c r="I35" s="5"/>
    </row>
    <row r="36" spans="2:9">
      <c r="B36" s="5"/>
      <c r="C36" s="5"/>
      <c r="D36" s="5"/>
      <c r="E36" s="5"/>
      <c r="F36" s="5"/>
      <c r="G36" s="5"/>
      <c r="H36" s="5"/>
      <c r="I36" s="5"/>
    </row>
    <row r="37" spans="2:9">
      <c r="B37" s="5"/>
      <c r="C37" s="5"/>
      <c r="D37" s="5"/>
      <c r="E37" s="5"/>
      <c r="F37" s="5"/>
      <c r="G37" s="5"/>
      <c r="H37" s="5"/>
      <c r="I37" s="5"/>
    </row>
    <row r="38" spans="2:9">
      <c r="B38" s="5"/>
      <c r="C38" s="5"/>
      <c r="D38" s="5"/>
      <c r="E38" s="5"/>
      <c r="F38" s="5"/>
      <c r="G38" s="5"/>
      <c r="H38" s="5"/>
      <c r="I38" s="5"/>
    </row>
    <row r="39" spans="2:9">
      <c r="B39" s="5"/>
      <c r="C39" s="5"/>
      <c r="D39" s="5"/>
      <c r="E39" s="5"/>
      <c r="F39" s="5"/>
      <c r="G39" s="5"/>
      <c r="H39" s="5"/>
      <c r="I39" s="5"/>
    </row>
    <row r="40" spans="2:9">
      <c r="B40" s="5"/>
      <c r="C40" s="5"/>
      <c r="D40" s="5"/>
      <c r="E40" s="5"/>
      <c r="F40" s="5"/>
      <c r="G40" s="5"/>
      <c r="H40" s="5"/>
      <c r="I40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0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35" customWidth="1"/>
    <col min="2" max="8" width="21" customWidth="1"/>
    <col min="9" max="9" width="22" customWidth="1"/>
  </cols>
  <sheetData>
    <row r="1" spans="1:9" ht="30" customHeight="1">
      <c r="A1" s="2" t="s">
        <v>22</v>
      </c>
      <c r="B1" s="2"/>
      <c r="C1" s="2"/>
      <c r="D1" s="2"/>
      <c r="E1" s="2"/>
      <c r="F1" s="2"/>
      <c r="G1" s="2"/>
      <c r="H1" s="2"/>
      <c r="I1" s="2"/>
    </row>
    <row r="3" spans="1:9">
      <c r="A3" s="4" t="s">
        <v>23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</row>
    <row r="4" spans="1:9">
      <c r="A4" t="s">
        <v>24</v>
      </c>
      <c r="B4" s="5">
        <f>'Custo consolidado'!B4</f>
        <v>989118</v>
      </c>
      <c r="C4" s="5">
        <f>'Custo consolidado'!C4</f>
        <v>143707</v>
      </c>
      <c r="D4" s="5">
        <f>'Custo consolidado'!D4</f>
        <v>806276</v>
      </c>
      <c r="E4" s="5">
        <f>'Custo consolidado'!E4</f>
        <v>167654</v>
      </c>
      <c r="F4" s="5">
        <f>'Custo consolidado'!F4</f>
        <v>0</v>
      </c>
      <c r="G4" s="5">
        <f>'Custo consolidado'!G4</f>
        <v>83627</v>
      </c>
      <c r="H4" s="5">
        <f>'Custo consolidado'!H4</f>
        <v>3381795</v>
      </c>
      <c r="I4" s="5">
        <f>'Custo consolidado'!I4</f>
        <v>5572177</v>
      </c>
    </row>
    <row r="5" spans="1:9">
      <c r="A5" t="s">
        <v>25</v>
      </c>
      <c r="B5" s="5">
        <f>Amortização!B4</f>
        <v>-627588</v>
      </c>
      <c r="C5" s="5">
        <f>Amortização!C4</f>
        <v>-101445</v>
      </c>
      <c r="D5" s="5">
        <f>Amortização!D4</f>
        <v>-469830</v>
      </c>
      <c r="E5" s="5">
        <f>Amortização!E4</f>
        <v>-49692</v>
      </c>
      <c r="F5" s="5">
        <f>Amortização!F4</f>
        <v>0</v>
      </c>
      <c r="G5" s="5">
        <f>Amortização!G4</f>
        <v>-62397</v>
      </c>
      <c r="H5" s="5">
        <f>Amortização!H4</f>
        <v>0</v>
      </c>
      <c r="I5" s="5">
        <f>Amortização!I4</f>
        <v>-1310952</v>
      </c>
    </row>
    <row r="6" spans="1:9">
      <c r="A6" s="7" t="s">
        <v>26</v>
      </c>
      <c r="B6" s="8">
        <f>B4+B5</f>
        <v>361530</v>
      </c>
      <c r="C6" s="8">
        <f>C4+C5</f>
        <v>42262</v>
      </c>
      <c r="D6" s="8">
        <f>D4+D5</f>
        <v>336446</v>
      </c>
      <c r="E6" s="8">
        <f>E4+E5</f>
        <v>117962</v>
      </c>
      <c r="F6" s="8">
        <f>F4+F5</f>
        <v>0</v>
      </c>
      <c r="G6" s="8">
        <f>G4+G5</f>
        <v>21230</v>
      </c>
      <c r="H6" s="8">
        <f>H4+H5</f>
        <v>3381795</v>
      </c>
      <c r="I6" s="8">
        <f>I4+I5</f>
        <v>4261225</v>
      </c>
    </row>
    <row r="7" spans="1:9">
      <c r="A7" s="7" t="s">
        <v>27</v>
      </c>
      <c r="B7" s="8">
        <v>361530</v>
      </c>
      <c r="C7" s="8">
        <v>42262</v>
      </c>
      <c r="D7" s="8">
        <v>336446</v>
      </c>
      <c r="E7" s="8">
        <v>117962</v>
      </c>
      <c r="F7" s="8">
        <v>0</v>
      </c>
      <c r="G7" s="8">
        <v>21230</v>
      </c>
      <c r="H7" s="8">
        <v>3381795</v>
      </c>
      <c r="I7" s="8">
        <f>SUM(B7:H7)</f>
        <v>4261225</v>
      </c>
    </row>
    <row r="8" spans="1:9">
      <c r="A8" t="s">
        <v>28</v>
      </c>
      <c r="B8" s="5">
        <f>B6-B7</f>
        <v>0</v>
      </c>
      <c r="C8" s="5">
        <f>C6-C7</f>
        <v>0</v>
      </c>
      <c r="D8" s="5">
        <f>D6-D7</f>
        <v>0</v>
      </c>
      <c r="E8" s="5">
        <f>E6-E7</f>
        <v>0</v>
      </c>
      <c r="F8" s="5">
        <f>F6-F7</f>
        <v>0</v>
      </c>
      <c r="G8" s="5">
        <f>G6-G7</f>
        <v>0</v>
      </c>
      <c r="H8" s="5">
        <f>H6-H7</f>
        <v>0</v>
      </c>
      <c r="I8" s="5">
        <f>I6-I7</f>
        <v>0</v>
      </c>
    </row>
    <row r="9" spans="1:9">
      <c r="A9" t="s">
        <v>29</v>
      </c>
      <c r="B9" s="5">
        <f>'Custo consolidado'!B10</f>
        <v>979674</v>
      </c>
      <c r="C9" s="5">
        <f>'Custo consolidado'!C10</f>
        <v>153711</v>
      </c>
      <c r="D9" s="5">
        <f>'Custo consolidado'!D10</f>
        <v>736854</v>
      </c>
      <c r="E9" s="5">
        <f>'Custo consolidado'!E10</f>
        <v>223664</v>
      </c>
      <c r="F9" s="5">
        <f>'Custo consolidado'!F10</f>
        <v>20834</v>
      </c>
      <c r="G9" s="5">
        <f>'Custo consolidado'!G10</f>
        <v>81337</v>
      </c>
      <c r="H9" s="5">
        <f>'Custo consolidado'!H10</f>
        <v>3167139</v>
      </c>
      <c r="I9" s="5">
        <f>'Custo consolidado'!I10</f>
        <v>5363213</v>
      </c>
    </row>
    <row r="10" spans="1:9">
      <c r="A10" t="s">
        <v>30</v>
      </c>
      <c r="B10" s="5">
        <f>Amortização!B10</f>
        <v>-689819</v>
      </c>
      <c r="C10" s="5">
        <f>Amortização!C10</f>
        <v>-106917</v>
      </c>
      <c r="D10" s="5">
        <f>Amortização!D10</f>
        <v>-525865</v>
      </c>
      <c r="E10" s="5">
        <f>Amortização!E10</f>
        <v>-66272</v>
      </c>
      <c r="F10" s="5">
        <f>Amortização!F10</f>
        <v>-3906</v>
      </c>
      <c r="G10" s="5">
        <f>Amortização!G10</f>
        <v>-66181</v>
      </c>
      <c r="H10" s="5">
        <f>Amortização!H10</f>
        <v>0</v>
      </c>
      <c r="I10" s="5">
        <f>Amortização!I10</f>
        <v>-1458960</v>
      </c>
    </row>
    <row r="11" spans="1:9">
      <c r="A11" s="7" t="s">
        <v>31</v>
      </c>
      <c r="B11" s="8">
        <f>B9+B10</f>
        <v>289855</v>
      </c>
      <c r="C11" s="8">
        <f>C9+C10</f>
        <v>46794</v>
      </c>
      <c r="D11" s="8">
        <f>D9+D10</f>
        <v>210989</v>
      </c>
      <c r="E11" s="8">
        <f>E9+E10</f>
        <v>157392</v>
      </c>
      <c r="F11" s="8">
        <f>F9+F10</f>
        <v>16928</v>
      </c>
      <c r="G11" s="8">
        <f>G9+G10</f>
        <v>15156</v>
      </c>
      <c r="H11" s="8">
        <f>H9+H10</f>
        <v>3167139</v>
      </c>
      <c r="I11" s="8">
        <f>I9+I10</f>
        <v>3904253</v>
      </c>
    </row>
    <row r="12" spans="1:9">
      <c r="A12" s="7" t="s">
        <v>32</v>
      </c>
      <c r="B12" s="8">
        <v>289855</v>
      </c>
      <c r="C12" s="8">
        <v>46794</v>
      </c>
      <c r="D12" s="8">
        <v>210989</v>
      </c>
      <c r="E12" s="8">
        <v>157392</v>
      </c>
      <c r="F12" s="8">
        <v>16928</v>
      </c>
      <c r="G12" s="8">
        <v>15156</v>
      </c>
      <c r="H12" s="8">
        <v>3167139</v>
      </c>
      <c r="I12" s="8">
        <f>SUM(B12:H12)</f>
        <v>3904253</v>
      </c>
    </row>
    <row r="13" spans="1:9">
      <c r="A13" t="s">
        <v>33</v>
      </c>
      <c r="B13" s="5">
        <f>B11-B12</f>
        <v>0</v>
      </c>
      <c r="C13" s="5">
        <f>C11-C12</f>
        <v>0</v>
      </c>
      <c r="D13" s="5">
        <f>D11-D12</f>
        <v>0</v>
      </c>
      <c r="E13" s="5">
        <f>E11-E12</f>
        <v>0</v>
      </c>
      <c r="F13" s="5">
        <f>F11-F12</f>
        <v>0</v>
      </c>
      <c r="G13" s="5">
        <f>G11-G12</f>
        <v>0</v>
      </c>
      <c r="H13" s="5">
        <f>H11-H12</f>
        <v>0</v>
      </c>
      <c r="I13" s="5">
        <f>I11-I12</f>
        <v>0</v>
      </c>
    </row>
    <row r="14" spans="1:9">
      <c r="A14" t="s">
        <v>34</v>
      </c>
      <c r="B14" s="5">
        <f>B11-B6</f>
        <v>-71675</v>
      </c>
      <c r="C14" s="5">
        <f>C11-C6</f>
        <v>4532</v>
      </c>
      <c r="D14" s="5">
        <f>D11-D6</f>
        <v>-125457</v>
      </c>
      <c r="E14" s="5">
        <f>E11-E6</f>
        <v>39430</v>
      </c>
      <c r="F14" s="5">
        <f>F11-F6</f>
        <v>16928</v>
      </c>
      <c r="G14" s="5">
        <f>G11-G6</f>
        <v>-6074</v>
      </c>
      <c r="H14" s="5">
        <f>H11-H6</f>
        <v>-214656</v>
      </c>
      <c r="I14" s="5">
        <f>I11-I6</f>
        <v>-356972</v>
      </c>
    </row>
    <row r="15" spans="1:9">
      <c r="A15" t="s">
        <v>35</v>
      </c>
      <c r="B15" s="6">
        <f>IFERROR(B14/B6,0)</f>
        <v>-0.19825464000221282</v>
      </c>
      <c r="C15" s="6">
        <f>IFERROR(C14/C6,0)</f>
        <v>0.10723581467985424</v>
      </c>
      <c r="D15" s="6">
        <f>IFERROR(D14/D6,0)</f>
        <v>-0.3728889628647688</v>
      </c>
      <c r="E15" s="6">
        <f>IFERROR(E14/E6,0)</f>
        <v>0.33426018548346076</v>
      </c>
      <c r="F15" s="6">
        <f>IFERROR(F14/F6,0)</f>
        <v>0</v>
      </c>
      <c r="G15" s="6">
        <f>IFERROR(G14/G6,0)</f>
        <v>-0.28610456900612341</v>
      </c>
      <c r="H15" s="6">
        <f>IFERROR(H14/H6,0)</f>
        <v>-6.3473983491015865E-2</v>
      </c>
      <c r="I15" s="6">
        <f>IFERROR(I14/I6,0)</f>
        <v>-8.377215472076692E-2</v>
      </c>
    </row>
    <row r="16" spans="1:9">
      <c r="B16" s="5"/>
      <c r="C16" s="5"/>
      <c r="D16" s="5"/>
      <c r="E16" s="5"/>
      <c r="F16" s="5"/>
      <c r="G16" s="5"/>
      <c r="H16" s="5"/>
      <c r="I16" s="5"/>
    </row>
    <row r="17" spans="1:9">
      <c r="A17" t="s">
        <v>36</v>
      </c>
      <c r="B17" s="5"/>
      <c r="C17" s="5"/>
      <c r="D17" s="5"/>
      <c r="E17" s="5"/>
      <c r="F17" s="5"/>
      <c r="G17" s="5"/>
      <c r="H17" s="5"/>
      <c r="I17" s="5"/>
    </row>
    <row r="18" spans="1:9">
      <c r="A18" t="s">
        <v>37</v>
      </c>
      <c r="B18" s="5"/>
      <c r="C18" s="5"/>
      <c r="D18" s="5"/>
      <c r="E18" s="5"/>
      <c r="F18" s="5"/>
      <c r="G18" s="5"/>
      <c r="H18" s="5"/>
      <c r="I18" s="5"/>
    </row>
    <row r="19" spans="1:9">
      <c r="B19" s="5"/>
      <c r="C19" s="5"/>
      <c r="D19" s="5"/>
      <c r="E19" s="5"/>
      <c r="F19" s="5"/>
      <c r="G19" s="5"/>
      <c r="H19" s="5"/>
      <c r="I19" s="5"/>
    </row>
    <row r="20" spans="1:9">
      <c r="B20" s="5"/>
      <c r="C20" s="5"/>
      <c r="D20" s="5"/>
      <c r="E20" s="5"/>
      <c r="F20" s="5"/>
      <c r="G20" s="5"/>
      <c r="H20" s="5"/>
      <c r="I20" s="5"/>
    </row>
    <row r="21" spans="1:9">
      <c r="B21" s="5"/>
      <c r="C21" s="5"/>
      <c r="D21" s="5"/>
      <c r="E21" s="5"/>
      <c r="F21" s="5"/>
      <c r="G21" s="5"/>
      <c r="H21" s="5"/>
      <c r="I21" s="5"/>
    </row>
    <row r="22" spans="1:9">
      <c r="B22" s="5"/>
      <c r="C22" s="5"/>
      <c r="D22" s="5"/>
      <c r="E22" s="5"/>
      <c r="F22" s="5"/>
      <c r="G22" s="5"/>
      <c r="H22" s="5"/>
      <c r="I22" s="5"/>
    </row>
    <row r="23" spans="1:9">
      <c r="B23" s="5"/>
      <c r="C23" s="5"/>
      <c r="D23" s="5"/>
      <c r="E23" s="5"/>
      <c r="F23" s="5"/>
      <c r="G23" s="5"/>
      <c r="H23" s="5"/>
      <c r="I23" s="5"/>
    </row>
    <row r="24" spans="1:9">
      <c r="B24" s="5"/>
      <c r="C24" s="5"/>
      <c r="D24" s="5"/>
      <c r="E24" s="5"/>
      <c r="F24" s="5"/>
      <c r="G24" s="5"/>
      <c r="H24" s="5"/>
      <c r="I24" s="5"/>
    </row>
    <row r="25" spans="1:9">
      <c r="B25" s="5"/>
      <c r="C25" s="5"/>
      <c r="D25" s="5"/>
      <c r="E25" s="5"/>
      <c r="F25" s="5"/>
      <c r="G25" s="5"/>
      <c r="H25" s="5"/>
      <c r="I25" s="5"/>
    </row>
    <row r="26" spans="1:9">
      <c r="B26" s="5"/>
      <c r="C26" s="5"/>
      <c r="D26" s="5"/>
      <c r="E26" s="5"/>
      <c r="F26" s="5"/>
      <c r="G26" s="5"/>
      <c r="H26" s="5"/>
      <c r="I26" s="5"/>
    </row>
    <row r="27" spans="1:9">
      <c r="B27" s="5"/>
      <c r="C27" s="5"/>
      <c r="D27" s="5"/>
      <c r="E27" s="5"/>
      <c r="F27" s="5"/>
      <c r="G27" s="5"/>
      <c r="H27" s="5"/>
      <c r="I27" s="5"/>
    </row>
    <row r="28" spans="1:9">
      <c r="B28" s="5"/>
      <c r="C28" s="5"/>
      <c r="D28" s="5"/>
      <c r="E28" s="5"/>
      <c r="F28" s="5"/>
      <c r="G28" s="5"/>
      <c r="H28" s="5"/>
      <c r="I28" s="5"/>
    </row>
    <row r="29" spans="1:9">
      <c r="B29" s="5"/>
      <c r="C29" s="5"/>
      <c r="D29" s="5"/>
      <c r="E29" s="5"/>
      <c r="F29" s="5"/>
      <c r="G29" s="5"/>
      <c r="H29" s="5"/>
      <c r="I29" s="5"/>
    </row>
    <row r="30" spans="1:9">
      <c r="B30" s="5"/>
      <c r="C30" s="5"/>
      <c r="D30" s="5"/>
      <c r="E30" s="5"/>
      <c r="F30" s="5"/>
      <c r="G30" s="5"/>
      <c r="H30" s="5"/>
      <c r="I30" s="5"/>
    </row>
    <row r="31" spans="1:9">
      <c r="B31" s="5"/>
      <c r="C31" s="5"/>
      <c r="D31" s="5"/>
      <c r="E31" s="5"/>
      <c r="F31" s="5"/>
      <c r="G31" s="5"/>
      <c r="H31" s="5"/>
      <c r="I31" s="5"/>
    </row>
    <row r="32" spans="1:9">
      <c r="B32" s="5"/>
      <c r="C32" s="5"/>
      <c r="D32" s="5"/>
      <c r="E32" s="5"/>
      <c r="F32" s="5"/>
      <c r="G32" s="5"/>
      <c r="H32" s="5"/>
      <c r="I32" s="5"/>
    </row>
    <row r="33" spans="2:9">
      <c r="B33" s="5"/>
      <c r="C33" s="5"/>
      <c r="D33" s="5"/>
      <c r="E33" s="5"/>
      <c r="F33" s="5"/>
      <c r="G33" s="5"/>
      <c r="H33" s="5"/>
      <c r="I33" s="5"/>
    </row>
    <row r="34" spans="2:9">
      <c r="B34" s="5"/>
      <c r="C34" s="5"/>
      <c r="D34" s="5"/>
      <c r="E34" s="5"/>
      <c r="F34" s="5"/>
      <c r="G34" s="5"/>
      <c r="H34" s="5"/>
      <c r="I34" s="5"/>
    </row>
    <row r="35" spans="2:9">
      <c r="B35" s="5"/>
      <c r="C35" s="5"/>
      <c r="D35" s="5"/>
      <c r="E35" s="5"/>
      <c r="F35" s="5"/>
      <c r="G35" s="5"/>
      <c r="H35" s="5"/>
      <c r="I35" s="5"/>
    </row>
    <row r="36" spans="2:9">
      <c r="B36" s="5"/>
      <c r="C36" s="5"/>
      <c r="D36" s="5"/>
      <c r="E36" s="5"/>
      <c r="F36" s="5"/>
      <c r="G36" s="5"/>
      <c r="H36" s="5"/>
      <c r="I36" s="5"/>
    </row>
    <row r="37" spans="2:9">
      <c r="B37" s="5"/>
      <c r="C37" s="5"/>
      <c r="D37" s="5"/>
      <c r="E37" s="5"/>
      <c r="F37" s="5"/>
      <c r="G37" s="5"/>
      <c r="H37" s="5"/>
      <c r="I37" s="5"/>
    </row>
    <row r="38" spans="2:9">
      <c r="B38" s="5"/>
      <c r="C38" s="5"/>
      <c r="D38" s="5"/>
      <c r="E38" s="5"/>
      <c r="F38" s="5"/>
      <c r="G38" s="5"/>
      <c r="H38" s="5"/>
      <c r="I38" s="5"/>
    </row>
    <row r="39" spans="2:9">
      <c r="B39" s="5"/>
      <c r="C39" s="5"/>
      <c r="D39" s="5"/>
      <c r="E39" s="5"/>
      <c r="F39" s="5"/>
      <c r="G39" s="5"/>
      <c r="H39" s="5"/>
      <c r="I39" s="5"/>
    </row>
    <row r="40" spans="2:9">
      <c r="B40" s="5"/>
      <c r="C40" s="5"/>
      <c r="D40" s="5"/>
      <c r="E40" s="5"/>
      <c r="F40" s="5"/>
      <c r="G40" s="5"/>
      <c r="H40" s="5"/>
      <c r="I40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zoomScaleNormal="100" zoomScaleSheetLayoutView="100" workbookViewId="0"/>
  </sheetViews>
  <sheetFormatPr defaultRowHeight="15"/>
  <cols>
    <col min="1" max="1" width="36" customWidth="1"/>
    <col min="2" max="5" width="23" customWidth="1"/>
  </cols>
  <sheetData>
    <row r="1" spans="1:5">
      <c r="A1" s="1" t="s">
        <v>38</v>
      </c>
      <c r="B1" s="1"/>
      <c r="C1" s="1"/>
      <c r="D1" s="1"/>
      <c r="E1" s="1"/>
    </row>
    <row r="3" spans="1:5">
      <c r="A3" s="3" t="s">
        <v>39</v>
      </c>
      <c r="B3" s="3" t="s">
        <v>10</v>
      </c>
      <c r="C3" s="3" t="s">
        <v>40</v>
      </c>
      <c r="D3" s="3" t="s">
        <v>41</v>
      </c>
      <c r="E3" s="3" t="s">
        <v>16</v>
      </c>
    </row>
    <row r="4" spans="1:5">
      <c r="A4" t="s">
        <v>42</v>
      </c>
      <c r="B4" s="5">
        <v>1376449</v>
      </c>
      <c r="C4" s="5">
        <v>8180</v>
      </c>
      <c r="D4" s="5">
        <v>-43373</v>
      </c>
      <c r="E4" s="5">
        <v>1341256</v>
      </c>
    </row>
    <row r="5" spans="1:5">
      <c r="A5" t="s">
        <v>43</v>
      </c>
      <c r="B5" s="5">
        <v>179463</v>
      </c>
      <c r="C5" s="5">
        <v>0</v>
      </c>
      <c r="D5" s="5">
        <v>-179463</v>
      </c>
      <c r="E5" s="5">
        <v>0</v>
      </c>
    </row>
    <row r="6" spans="1:5">
      <c r="A6" t="s">
        <v>44</v>
      </c>
      <c r="B6" s="5">
        <v>1825883</v>
      </c>
      <c r="C6" s="5">
        <v>0</v>
      </c>
      <c r="D6" s="5">
        <v>0</v>
      </c>
      <c r="E6" s="5">
        <v>1825883</v>
      </c>
    </row>
    <row r="7" spans="1:5">
      <c r="A7" t="s">
        <v>45</v>
      </c>
      <c r="B7" s="5">
        <f>SUM(B4:B6)</f>
        <v>3381795</v>
      </c>
      <c r="C7" s="5">
        <f>SUM(C4:C6)</f>
        <v>8180</v>
      </c>
      <c r="D7" s="5">
        <f>SUM(D4:D6)</f>
        <v>-222836</v>
      </c>
      <c r="E7" s="5">
        <f>SUM(E4:E6)</f>
        <v>3167139</v>
      </c>
    </row>
    <row r="9" spans="1:5">
      <c r="A9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4"/>
  <sheetViews>
    <sheetView zoomScaleNormal="100" zoomScaleSheetLayoutView="100" workbookViewId="0"/>
  </sheetViews>
  <sheetFormatPr defaultRowHeight="15"/>
  <cols>
    <col min="1" max="1" width="25" customWidth="1"/>
    <col min="2" max="2" width="112" customWidth="1"/>
  </cols>
  <sheetData>
    <row r="1" spans="1:2">
      <c r="A1" s="1" t="s">
        <v>47</v>
      </c>
      <c r="B1" s="1"/>
    </row>
    <row r="2" spans="1:2">
      <c r="A2" t="s">
        <v>48</v>
      </c>
      <c r="B2" t="s">
        <v>49</v>
      </c>
    </row>
    <row r="3" spans="1:2">
      <c r="A3" t="s">
        <v>50</v>
      </c>
      <c r="B3" t="s">
        <v>51</v>
      </c>
    </row>
    <row r="4" spans="1:2">
      <c r="A4" t="s">
        <v>52</v>
      </c>
      <c r="B4" t="s">
        <v>53</v>
      </c>
    </row>
    <row r="5" spans="1:2">
      <c r="A5" t="s">
        <v>54</v>
      </c>
      <c r="B5" t="s">
        <v>55</v>
      </c>
    </row>
    <row r="6" spans="1:2">
      <c r="A6" t="s">
        <v>56</v>
      </c>
      <c r="B6" t="s">
        <v>57</v>
      </c>
    </row>
    <row r="7" spans="1:2">
      <c r="A7" t="s">
        <v>58</v>
      </c>
      <c r="B7" t="s">
        <v>59</v>
      </c>
    </row>
    <row r="8" spans="1:2">
      <c r="A8" t="s">
        <v>60</v>
      </c>
      <c r="B8" t="s">
        <v>61</v>
      </c>
    </row>
    <row r="9" spans="1:2">
      <c r="A9" t="s">
        <v>62</v>
      </c>
      <c r="B9" t="s">
        <v>63</v>
      </c>
    </row>
    <row r="10" spans="1:2">
      <c r="A10" t="s">
        <v>64</v>
      </c>
      <c r="B10" t="s">
        <v>65</v>
      </c>
    </row>
    <row r="11" spans="1:2">
      <c r="A11" t="s">
        <v>8</v>
      </c>
      <c r="B11" t="s">
        <v>66</v>
      </c>
    </row>
    <row r="12" spans="1:2">
      <c r="A12" t="s">
        <v>67</v>
      </c>
      <c r="B12" t="s">
        <v>68</v>
      </c>
    </row>
    <row r="13" spans="1:2">
      <c r="A13" t="s">
        <v>69</v>
      </c>
      <c r="B13" t="s">
        <v>70</v>
      </c>
    </row>
    <row r="14" spans="1:2">
      <c r="A14" t="s">
        <v>71</v>
      </c>
      <c r="B14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2026-10-21T20:16:42Z</dcterms:created>
  <dcterms:modified xsi:type="dcterms:W3CDTF">2026-10-21T20:16:42Z</dcterms:modified>
  <cp:category/>
  <cp:contentStatus/>
</cp:coreProperties>
</file>