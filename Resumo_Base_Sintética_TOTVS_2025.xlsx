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4BEB48A2-263E-4218-8BC6-3136045432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ciliação 2025" sheetId="1" r:id="rId1"/>
    <sheet name="Premissas" sheetId="2" r:id="rId2"/>
    <sheet name="Dicionário" sheetId="3" r:id="rId3"/>
    <sheet name="Testes e resultados" sheetId="4" r:id="rId4"/>
    <sheet name="Font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G11" i="1" s="1"/>
  <c r="D11" i="1"/>
  <c r="C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<sst xmlns="http://schemas.openxmlformats.org/spreadsheetml/2006/main" count="132" uniqueCount="120">
  <si>
    <t>TOTVS | CONCILIAÇÃO DA BASE SINTÉTICA — 2025</t>
  </si>
  <si>
    <t>Classe</t>
  </si>
  <si>
    <t>Registros</t>
  </si>
  <si>
    <t>Custo (R$)</t>
  </si>
  <si>
    <t>Amort. acum. (R$)</t>
  </si>
  <si>
    <t>Líquido (R$)</t>
  </si>
  <si>
    <t>Publicado (R$)</t>
  </si>
  <si>
    <t>Diferença (R$)</t>
  </si>
  <si>
    <t>Software</t>
  </si>
  <si>
    <t>Marcas e patentes</t>
  </si>
  <si>
    <t>Carteira de clientes</t>
  </si>
  <si>
    <t>Ativos de desenvolvimento</t>
  </si>
  <si>
    <t>Direito de uso de licenças</t>
  </si>
  <si>
    <t>Outros</t>
  </si>
  <si>
    <t>Goodwill (controle público)</t>
  </si>
  <si>
    <t>TOTAL</t>
  </si>
  <si>
    <t>METODOLOGIA | VALORES DO MODELO, NÃO DADOS REAIS</t>
  </si>
  <si>
    <t>Aspecto</t>
  </si>
  <si>
    <t>Definição</t>
  </si>
  <si>
    <t>Período</t>
  </si>
  <si>
    <t>31/12/2025; exercício 2025, comparativo 2024 usado na nota de conciliação</t>
  </si>
  <si>
    <t>População</t>
  </si>
  <si>
    <t>500.000 componentes analíticos de custo fictícios (exclui goodwill)</t>
  </si>
  <si>
    <t>Semente pseudoaleatória</t>
  </si>
  <si>
    <t>20251021</t>
  </si>
  <si>
    <t>Classes</t>
  </si>
  <si>
    <t>6 classes amortizáveis da Nota 15; goodwill separado por UGC</t>
  </si>
  <si>
    <t>Custo</t>
  </si>
  <si>
    <t>Rateio do custo bruto divulgado por classe entre componentes sintéticos</t>
  </si>
  <si>
    <t>Amortização acumulada</t>
  </si>
  <si>
    <t>Rateio simulado com ponderação de idade e limitação ao custo; saldo total calibrado ao publicado</t>
  </si>
  <si>
    <t>UGC sintética</t>
  </si>
  <si>
    <t>Código UGC-S1 a UGC-S4; NÃO equivale às UGCs reais da TOTVS</t>
  </si>
  <si>
    <t>Valor monetário das linhas</t>
  </si>
  <si>
    <t>Centavos de R$, inteiro numérico; dividir por 100 para R$</t>
  </si>
  <si>
    <t>Registro individual</t>
  </si>
  <si>
    <t>Cada linha representa componente analítico sintético de custo, com ID único</t>
  </si>
  <si>
    <t>Erros</t>
  </si>
  <si>
    <t>100 exceções controladas em arquivo separado, sem contaminar base conciliada</t>
  </si>
  <si>
    <t>Goodwill</t>
  </si>
  <si>
    <t>Saldos públicos por UGC Gestão e UGC RD, não amortizáveis</t>
  </si>
  <si>
    <t>Citação</t>
  </si>
  <si>
    <t>Nota 15, pág. 51 de 76; Nota 15.1, pág. 52 de 76; DFP 2025 TOTVS</t>
  </si>
  <si>
    <t>Limitação</t>
  </si>
  <si>
    <t>Conciliação forçada aos totais públicos, não demonstra existência ou auditoria de registros reais</t>
  </si>
  <si>
    <t>DICIONÁRIO | intangiveis_sinteticos_500000.csv</t>
  </si>
  <si>
    <t>Coluna</t>
  </si>
  <si>
    <t>Tipo</t>
  </si>
  <si>
    <t>Descrição</t>
  </si>
  <si>
    <t>id_componente</t>
  </si>
  <si>
    <t>Texto</t>
  </si>
  <si>
    <t>Identificador sintético único do componente de custo</t>
  </si>
  <si>
    <t>classe</t>
  </si>
  <si>
    <t>Classe de intangível conforme grupos da Nota 15</t>
  </si>
  <si>
    <t>id_projeto_sintetico</t>
  </si>
  <si>
    <t>Identificador de agrupamento ficcional de componentes</t>
  </si>
  <si>
    <t>id_ugc_sintetica</t>
  </si>
  <si>
    <t>Identificador de agrupamento ficcional; NÃO representa as UGCs reais</t>
  </si>
  <si>
    <t>data_disponivel</t>
  </si>
  <si>
    <t>Data ISO 8601</t>
  </si>
  <si>
    <t>Data fictícia em que o componente entrou em serviço</t>
  </si>
  <si>
    <t>vida_util_meses</t>
  </si>
  <si>
    <t>Inteiro</t>
  </si>
  <si>
    <t>Vida útil sintética estimada em meses por classe</t>
  </si>
  <si>
    <t>custo_centavos</t>
  </si>
  <si>
    <t>Custo sintético em centavos de reais</t>
  </si>
  <si>
    <t>amortizacao_acumulada_centavos</t>
  </si>
  <si>
    <t>Amortização sintética acumulada, valor positivo, em centavos</t>
  </si>
  <si>
    <t>saldo_liquido_centavos</t>
  </si>
  <si>
    <t>Custo menos amortização acumulada, centavos</t>
  </si>
  <si>
    <t>valor_original_centavos</t>
  </si>
  <si>
    <t>Cópia controle do custo antes de qualquer experimento</t>
  </si>
  <si>
    <t>indicador_erro</t>
  </si>
  <si>
    <t>NAO: base limpa; erros em arquivo externo separado</t>
  </si>
  <si>
    <t>natureza_dado</t>
  </si>
  <si>
    <t>SINTETICO em todas as 500 mil linhas</t>
  </si>
  <si>
    <t>TESTES | CONTROLES DE QUALIDADE E RASTREABILIDADE</t>
  </si>
  <si>
    <t>Teste</t>
  </si>
  <si>
    <t>Critério</t>
  </si>
  <si>
    <t>Resultado</t>
  </si>
  <si>
    <t>Contagem</t>
  </si>
  <si>
    <t>Número de componentes = 500.000</t>
  </si>
  <si>
    <t>Conciliação com saldo publicado</t>
  </si>
  <si>
    <t>Diferença final em R$</t>
  </si>
  <si>
    <t>Erros inseridos</t>
  </si>
  <si>
    <t>Casos com ID listados em excecoes_injetadas.csv</t>
  </si>
  <si>
    <t>IDs de componentes</t>
  </si>
  <si>
    <t>Todos diferentes por geração sequencial</t>
  </si>
  <si>
    <t>500.000 distintos</t>
  </si>
  <si>
    <t>Integridade dos saldos</t>
  </si>
  <si>
    <t>0 ≤ amortização acumulada ≤ custo em cada linha</t>
  </si>
  <si>
    <t>Validado na geração</t>
  </si>
  <si>
    <t>Formato numérico</t>
  </si>
  <si>
    <t>Custos e amortizações são inteiros representando centavos</t>
  </si>
  <si>
    <t>Teste de recálculo</t>
  </si>
  <si>
    <t>O recálculo independente de amortização exige premissas não disponíveis</t>
  </si>
  <si>
    <t>Planejado para análise didática</t>
  </si>
  <si>
    <t>Teste de impairment</t>
  </si>
  <si>
    <t>Separado por UGC e com premissas sintéticas; não testa gestão real</t>
  </si>
  <si>
    <t>Planejado</t>
  </si>
  <si>
    <t>Amostragem</t>
  </si>
  <si>
    <t>Selecionar da base 500 mil, documentar método e risco</t>
  </si>
  <si>
    <t>A executar no PT 530</t>
  </si>
  <si>
    <t>FONTES PÚBLICAS E LIMITAÇÕES</t>
  </si>
  <si>
    <t>Fonte</t>
  </si>
  <si>
    <t>Localização</t>
  </si>
  <si>
    <t>Natureza</t>
  </si>
  <si>
    <t>TOTVS DFP 2025</t>
  </si>
  <si>
    <t>Balanço consolidado, página 2 de 88</t>
  </si>
  <si>
    <t>Saldo real 2025</t>
  </si>
  <si>
    <t>TOTVS Notas Explicativas</t>
  </si>
  <si>
    <t>Nota 15, página 51 de 76</t>
  </si>
  <si>
    <t>Custos e amortização por classe</t>
  </si>
  <si>
    <t>Nota 15.1, página 52 de 76</t>
  </si>
  <si>
    <t>Goodwill por UGC</t>
  </si>
  <si>
    <t>Nota 2.4(g), páginas 12 a 14 de 76</t>
  </si>
  <si>
    <t>Políticas de intangíveis</t>
  </si>
  <si>
    <t>Não existem registros analíticos reais</t>
  </si>
  <si>
    <t>Acesso não fornecido</t>
  </si>
  <si>
    <t>Todo CSV com 500 mil linhas é sintético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</si>
</sst>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–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250"/>
      </patternFill>
    </fill>
    <fill>
      <patternFill patternType="solid">
        <fgColor rgb="FF147E92"/>
      </patternFill>
    </fill>
    <fill>
      <patternFill patternType="solid">
        <fgColor rgb="FFD8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2" fillId="4" borderId="0" xfId="0" applyFont="1" applyFill="1"/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2" width="18" customWidth="1"/>
    <col min="3" max="3" width="23" customWidth="1"/>
    <col min="4" max="4" width="25" customWidth="1"/>
    <col min="5" max="7" width="23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t="s">
        <v>8</v>
      </c>
      <c r="B4" s="3">
        <v>155000</v>
      </c>
      <c r="C4" s="3">
        <v>979674000</v>
      </c>
      <c r="D4" s="3">
        <v>-689819000</v>
      </c>
      <c r="E4" s="3">
        <v>289855000</v>
      </c>
      <c r="F4" s="3">
        <v>289855000</v>
      </c>
      <c r="G4" s="3">
        <f>E4-F4</f>
        <v>0</v>
      </c>
    </row>
    <row r="5" spans="1:7">
      <c r="A5" t="s">
        <v>9</v>
      </c>
      <c r="B5" s="3">
        <v>35000</v>
      </c>
      <c r="C5" s="3">
        <v>153711000</v>
      </c>
      <c r="D5" s="3">
        <v>-106917000</v>
      </c>
      <c r="E5" s="3">
        <v>46794000</v>
      </c>
      <c r="F5" s="3">
        <v>46794000</v>
      </c>
      <c r="G5" s="3">
        <f>E5-F5</f>
        <v>0</v>
      </c>
    </row>
    <row r="6" spans="1:7">
      <c r="A6" t="s">
        <v>10</v>
      </c>
      <c r="B6" s="3">
        <v>120000</v>
      </c>
      <c r="C6" s="3">
        <v>736854000</v>
      </c>
      <c r="D6" s="3">
        <v>-525865000</v>
      </c>
      <c r="E6" s="3">
        <v>210989000</v>
      </c>
      <c r="F6" s="3">
        <v>210989000</v>
      </c>
      <c r="G6" s="3">
        <f>E6-F6</f>
        <v>0</v>
      </c>
    </row>
    <row r="7" spans="1:7">
      <c r="A7" t="s">
        <v>11</v>
      </c>
      <c r="B7" s="3">
        <v>140000</v>
      </c>
      <c r="C7" s="3">
        <v>223664000</v>
      </c>
      <c r="D7" s="3">
        <v>-66272000</v>
      </c>
      <c r="E7" s="3">
        <v>157392000</v>
      </c>
      <c r="F7" s="3">
        <v>157392000</v>
      </c>
      <c r="G7" s="3">
        <f>E7-F7</f>
        <v>0</v>
      </c>
    </row>
    <row r="8" spans="1:7">
      <c r="A8" t="s">
        <v>12</v>
      </c>
      <c r="B8" s="3">
        <v>15000</v>
      </c>
      <c r="C8" s="3">
        <v>20834000</v>
      </c>
      <c r="D8" s="3">
        <v>-3906000</v>
      </c>
      <c r="E8" s="3">
        <v>16928000</v>
      </c>
      <c r="F8" s="3">
        <v>16928000</v>
      </c>
      <c r="G8" s="3">
        <f>E8-F8</f>
        <v>0</v>
      </c>
    </row>
    <row r="9" spans="1:7">
      <c r="A9" t="s">
        <v>13</v>
      </c>
      <c r="B9" s="3">
        <v>35000</v>
      </c>
      <c r="C9" s="3">
        <v>81337000</v>
      </c>
      <c r="D9" s="3">
        <v>-66181000</v>
      </c>
      <c r="E9" s="3">
        <v>15156000</v>
      </c>
      <c r="F9" s="3">
        <v>15156000</v>
      </c>
      <c r="G9" s="3">
        <f>E9-F9</f>
        <v>0</v>
      </c>
    </row>
    <row r="10" spans="1:7">
      <c r="A10" t="s">
        <v>14</v>
      </c>
      <c r="B10" s="3">
        <v>0</v>
      </c>
      <c r="C10" s="3">
        <v>3167139000</v>
      </c>
      <c r="D10" s="3">
        <v>0</v>
      </c>
      <c r="E10" s="3">
        <v>3167139000</v>
      </c>
      <c r="F10" s="3">
        <v>3167139000</v>
      </c>
      <c r="G10" s="3">
        <f>E10-F10</f>
        <v>0</v>
      </c>
    </row>
    <row r="11" spans="1:7">
      <c r="A11" s="4" t="s">
        <v>15</v>
      </c>
      <c r="B11" s="5">
        <v>500000</v>
      </c>
      <c r="C11" s="5">
        <f>SUM(C4:C10)</f>
        <v>5363213000</v>
      </c>
      <c r="D11" s="5">
        <f>SUM(D4:D10)</f>
        <v>-1458960000</v>
      </c>
      <c r="E11" s="5">
        <f>SUM(E4:E10)</f>
        <v>3904253000</v>
      </c>
      <c r="F11" s="5">
        <v>3904253000</v>
      </c>
      <c r="G11" s="5">
        <f>E11-F11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>
      <pane ySplit="3" topLeftCell="A7" activePane="bottomLeft" state="frozen"/>
      <selection pane="bottomLeft"/>
    </sheetView>
  </sheetViews>
  <sheetFormatPr defaultRowHeight="15"/>
  <cols>
    <col min="1" max="1" width="31" customWidth="1"/>
    <col min="2" max="2" width="104" customWidth="1"/>
  </cols>
  <sheetData>
    <row r="1" spans="1:2">
      <c r="A1" s="1" t="s">
        <v>16</v>
      </c>
      <c r="B1" s="1"/>
    </row>
    <row r="3" spans="1:2">
      <c r="A3" s="2" t="s">
        <v>17</v>
      </c>
      <c r="B3" s="2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32</v>
      </c>
    </row>
    <row r="11" spans="1:2">
      <c r="A11" t="s">
        <v>33</v>
      </c>
      <c r="B11" t="s">
        <v>34</v>
      </c>
    </row>
    <row r="12" spans="1:2">
      <c r="A12" t="s">
        <v>35</v>
      </c>
      <c r="B12" t="s">
        <v>36</v>
      </c>
    </row>
    <row r="13" spans="1:2">
      <c r="A13" t="s">
        <v>37</v>
      </c>
      <c r="B13" t="s">
        <v>38</v>
      </c>
    </row>
    <row r="14" spans="1:2">
      <c r="A14" t="s">
        <v>39</v>
      </c>
      <c r="B14" t="s">
        <v>40</v>
      </c>
    </row>
    <row r="15" spans="1:2">
      <c r="A15" t="s">
        <v>41</v>
      </c>
      <c r="B15" t="s">
        <v>42</v>
      </c>
    </row>
    <row r="16" spans="1:2">
      <c r="A16" t="s">
        <v>43</v>
      </c>
      <c r="B1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6" customWidth="1"/>
    <col min="2" max="2" width="21" customWidth="1"/>
    <col min="3" max="3" width="100" customWidth="1"/>
  </cols>
  <sheetData>
    <row r="1" spans="1:3">
      <c r="A1" s="1" t="s">
        <v>45</v>
      </c>
      <c r="B1" s="1"/>
      <c r="C1" s="1"/>
    </row>
    <row r="3" spans="1:3">
      <c r="A3" s="2" t="s">
        <v>46</v>
      </c>
      <c r="B3" s="2" t="s">
        <v>47</v>
      </c>
      <c r="C3" s="2" t="s">
        <v>48</v>
      </c>
    </row>
    <row r="4" spans="1:3">
      <c r="A4" t="s">
        <v>49</v>
      </c>
      <c r="B4" t="s">
        <v>50</v>
      </c>
      <c r="C4" t="s">
        <v>51</v>
      </c>
    </row>
    <row r="5" spans="1:3">
      <c r="A5" t="s">
        <v>52</v>
      </c>
      <c r="B5" t="s">
        <v>50</v>
      </c>
      <c r="C5" t="s">
        <v>53</v>
      </c>
    </row>
    <row r="6" spans="1:3">
      <c r="A6" t="s">
        <v>54</v>
      </c>
      <c r="B6" t="s">
        <v>50</v>
      </c>
      <c r="C6" t="s">
        <v>55</v>
      </c>
    </row>
    <row r="7" spans="1:3">
      <c r="A7" t="s">
        <v>56</v>
      </c>
      <c r="B7" t="s">
        <v>50</v>
      </c>
      <c r="C7" t="s">
        <v>57</v>
      </c>
    </row>
    <row r="8" spans="1:3">
      <c r="A8" t="s">
        <v>58</v>
      </c>
      <c r="B8" t="s">
        <v>59</v>
      </c>
      <c r="C8" t="s">
        <v>60</v>
      </c>
    </row>
    <row r="9" spans="1:3">
      <c r="A9" t="s">
        <v>61</v>
      </c>
      <c r="B9" t="s">
        <v>62</v>
      </c>
      <c r="C9" t="s">
        <v>63</v>
      </c>
    </row>
    <row r="10" spans="1:3">
      <c r="A10" t="s">
        <v>64</v>
      </c>
      <c r="B10" t="s">
        <v>62</v>
      </c>
      <c r="C10" t="s">
        <v>65</v>
      </c>
    </row>
    <row r="11" spans="1:3">
      <c r="A11" t="s">
        <v>66</v>
      </c>
      <c r="B11" t="s">
        <v>62</v>
      </c>
      <c r="C11" t="s">
        <v>67</v>
      </c>
    </row>
    <row r="12" spans="1:3">
      <c r="A12" t="s">
        <v>68</v>
      </c>
      <c r="B12" t="s">
        <v>62</v>
      </c>
      <c r="C12" t="s">
        <v>69</v>
      </c>
    </row>
    <row r="13" spans="1:3">
      <c r="A13" t="s">
        <v>70</v>
      </c>
      <c r="B13" t="s">
        <v>62</v>
      </c>
      <c r="C13" t="s">
        <v>71</v>
      </c>
    </row>
    <row r="14" spans="1:3">
      <c r="A14" t="s">
        <v>72</v>
      </c>
      <c r="B14" t="s">
        <v>50</v>
      </c>
      <c r="C14" t="s">
        <v>73</v>
      </c>
    </row>
    <row r="15" spans="1:3">
      <c r="A15" t="s">
        <v>74</v>
      </c>
      <c r="B15" t="s">
        <v>50</v>
      </c>
      <c r="C1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9" customWidth="1"/>
    <col min="2" max="2" width="76" customWidth="1"/>
    <col min="3" max="3" width="27" customWidth="1"/>
  </cols>
  <sheetData>
    <row r="1" spans="1:3">
      <c r="A1" s="1" t="s">
        <v>76</v>
      </c>
      <c r="B1" s="1"/>
      <c r="C1" s="1"/>
    </row>
    <row r="3" spans="1:3">
      <c r="A3" s="2" t="s">
        <v>77</v>
      </c>
      <c r="B3" s="2" t="s">
        <v>78</v>
      </c>
      <c r="C3" s="2" t="s">
        <v>79</v>
      </c>
    </row>
    <row r="4" spans="1:3">
      <c r="A4" t="s">
        <v>80</v>
      </c>
      <c r="B4" t="s">
        <v>81</v>
      </c>
      <c r="C4">
        <v>500000</v>
      </c>
    </row>
    <row r="5" spans="1:3">
      <c r="A5" t="s">
        <v>82</v>
      </c>
      <c r="B5" t="s">
        <v>83</v>
      </c>
      <c r="C5">
        <v>0</v>
      </c>
    </row>
    <row r="6" spans="1:3">
      <c r="A6" t="s">
        <v>84</v>
      </c>
      <c r="B6" t="s">
        <v>85</v>
      </c>
      <c r="C6">
        <v>100</v>
      </c>
    </row>
    <row r="7" spans="1:3">
      <c r="A7" t="s">
        <v>86</v>
      </c>
      <c r="B7" t="s">
        <v>87</v>
      </c>
      <c r="C7" t="s">
        <v>88</v>
      </c>
    </row>
    <row r="8" spans="1:3">
      <c r="A8" t="s">
        <v>89</v>
      </c>
      <c r="B8" t="s">
        <v>90</v>
      </c>
      <c r="C8" t="s">
        <v>91</v>
      </c>
    </row>
    <row r="9" spans="1:3">
      <c r="A9" t="s">
        <v>92</v>
      </c>
      <c r="B9" t="s">
        <v>93</v>
      </c>
      <c r="C9" t="s">
        <v>91</v>
      </c>
    </row>
    <row r="10" spans="1:3">
      <c r="A10" t="s">
        <v>94</v>
      </c>
      <c r="B10" t="s">
        <v>95</v>
      </c>
      <c r="C10" t="s">
        <v>96</v>
      </c>
    </row>
    <row r="11" spans="1:3">
      <c r="A11" t="s">
        <v>97</v>
      </c>
      <c r="B11" t="s">
        <v>98</v>
      </c>
      <c r="C11" t="s">
        <v>99</v>
      </c>
    </row>
    <row r="12" spans="1:3">
      <c r="A12" t="s">
        <v>100</v>
      </c>
      <c r="B12" t="s">
        <v>101</v>
      </c>
      <c r="C1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9" customWidth="1"/>
    <col min="2" max="2" width="67" customWidth="1"/>
    <col min="3" max="3" width="30" customWidth="1"/>
  </cols>
  <sheetData>
    <row r="1" spans="1:3">
      <c r="A1" s="1" t="s">
        <v>103</v>
      </c>
      <c r="B1" s="1"/>
      <c r="C1" s="1"/>
    </row>
    <row r="3" spans="1:3">
      <c r="A3" s="2" t="s">
        <v>104</v>
      </c>
      <c r="B3" s="2" t="s">
        <v>105</v>
      </c>
      <c r="C3" s="2" t="s">
        <v>106</v>
      </c>
    </row>
    <row r="4" spans="1:3">
      <c r="A4" t="s">
        <v>107</v>
      </c>
      <c r="B4" t="s">
        <v>108</v>
      </c>
      <c r="C4" t="s">
        <v>109</v>
      </c>
    </row>
    <row r="5" spans="1:3">
      <c r="A5" t="s">
        <v>110</v>
      </c>
      <c r="B5" t="s">
        <v>111</v>
      </c>
      <c r="C5" t="s">
        <v>112</v>
      </c>
    </row>
    <row r="6" spans="1:3">
      <c r="A6" t="s">
        <v>110</v>
      </c>
      <c r="B6" t="s">
        <v>113</v>
      </c>
      <c r="C6" t="s">
        <v>114</v>
      </c>
    </row>
    <row r="7" spans="1:3">
      <c r="A7" t="s">
        <v>110</v>
      </c>
      <c r="B7" t="s">
        <v>115</v>
      </c>
      <c r="C7" t="s">
        <v>116</v>
      </c>
    </row>
    <row r="8" spans="1:3">
      <c r="A8" t="s">
        <v>117</v>
      </c>
      <c r="B8" t="s">
        <v>118</v>
      </c>
      <c r="C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2026-10-24T13:05:38Z</dcterms:created>
  <dcterms:modified xsi:type="dcterms:W3CDTF">2026-10-24T13:05:38Z</dcterms:modified>
  <cp:category/>
  <cp:contentStatus/>
</cp:coreProperties>
</file>